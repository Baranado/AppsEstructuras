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4.xml" ContentType="application/vnd.openxmlformats-officedocument.themeOverrid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olderWork\AppsEstructuras\"/>
    </mc:Choice>
  </mc:AlternateContent>
  <xr:revisionPtr revIDLastSave="0" documentId="13_ncr:1_{E5F15F72-05D3-4EB3-9B5F-0C12FAC8E815}" xr6:coauthVersionLast="47" xr6:coauthVersionMax="47" xr10:uidLastSave="{00000000-0000-0000-0000-000000000000}"/>
  <bookViews>
    <workbookView xWindow="-120" yWindow="-120" windowWidth="29040" windowHeight="15840" tabRatio="895" xr2:uid="{729B20AD-A6A2-4404-88E1-AC738C201386}"/>
  </bookViews>
  <sheets>
    <sheet name="SecGral" sheetId="4" r:id="rId1"/>
    <sheet name="SecRecN" sheetId="5" r:id="rId2"/>
    <sheet name="SecRecS" sheetId="6" r:id="rId3"/>
    <sheet name="SecT1" sheetId="7" r:id="rId4"/>
    <sheet name="SecT2" sheetId="8" r:id="rId5"/>
    <sheet name="SecT3" sheetId="9" r:id="rId6"/>
    <sheet name="SecL1" sheetId="10" r:id="rId7"/>
    <sheet name="SecL2" sheetId="11" r:id="rId8"/>
    <sheet name="ComparacionSAP200" sheetId="16" r:id="rId9"/>
    <sheet name="DiagramSAP2000" sheetId="17" r:id="rId10"/>
  </sheets>
  <functionGroups builtInGroupCount="19"/>
  <definedNames>
    <definedName name="Sheet4xc">OFFSET(SecGral!$J$45,0,0,COUNT(SecGral!$J$45:$J$72))</definedName>
    <definedName name="Sheet4xg">OFFSET(SecGral!$C$45,0,0,COUNT(SecGral!$C$45:$C$70))</definedName>
    <definedName name="Sheet4xs">OFFSET(SecGral!$Z$45,0,0,COUNT(SecGral!$Z$45:$Z$72))</definedName>
    <definedName name="Sheet4yc">OFFSET(SecGral!$K$45,0,0,COUNT(SecGral!$K$45:$K$72))</definedName>
    <definedName name="Sheet4yg">OFFSET(SecGral!$D$45,0,0,COUNT(SecGral!$D$45:$D$70))</definedName>
    <definedName name="Sheet4ys">OFFSET(SecGral!$AA$45,0,0,COUNT(SecGral!$AA$45:$AA$72))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6" i="4" l="1"/>
  <c r="Y47" i="4"/>
  <c r="Y45" i="4"/>
  <c r="A19" i="16"/>
  <c r="B19" i="16"/>
  <c r="L25" i="16"/>
  <c r="C41" i="16" s="1"/>
  <c r="L24" i="16"/>
  <c r="C31" i="16" s="1"/>
  <c r="B20" i="16"/>
  <c r="C20" i="16"/>
  <c r="A20" i="16"/>
  <c r="X6" i="16"/>
  <c r="X5" i="16"/>
  <c r="X4" i="16"/>
  <c r="U11" i="16" s="1"/>
  <c r="AR3" i="16" a="1"/>
  <c r="X9" i="4" a="1"/>
  <c r="AR17" i="16" a="1"/>
  <c r="W45" i="16" a="1"/>
  <c r="X12" i="4" a="1"/>
  <c r="A45" i="16" a="1"/>
  <c r="X11" i="4" l="1"/>
  <c r="X9" i="4"/>
  <c r="X10" i="4"/>
  <c r="X14" i="4"/>
  <c r="X12" i="4"/>
  <c r="X13" i="4"/>
  <c r="U5" i="16"/>
  <c r="U36" i="16"/>
  <c r="U28" i="16"/>
  <c r="U20" i="16"/>
  <c r="U12" i="16"/>
  <c r="U42" i="16"/>
  <c r="U34" i="16"/>
  <c r="U26" i="16"/>
  <c r="U18" i="16"/>
  <c r="U10" i="16"/>
  <c r="U9" i="16"/>
  <c r="U40" i="16"/>
  <c r="U32" i="16"/>
  <c r="U24" i="16"/>
  <c r="U16" i="16"/>
  <c r="U7" i="16"/>
  <c r="U38" i="16"/>
  <c r="U30" i="16"/>
  <c r="U22" i="16"/>
  <c r="U14" i="16"/>
  <c r="U3" i="16"/>
  <c r="U6" i="16"/>
  <c r="U41" i="16"/>
  <c r="U37" i="16"/>
  <c r="U33" i="16"/>
  <c r="U29" i="16"/>
  <c r="U25" i="16"/>
  <c r="U21" i="16"/>
  <c r="U17" i="16"/>
  <c r="U13" i="16"/>
  <c r="U8" i="16"/>
  <c r="U4" i="16"/>
  <c r="U39" i="16"/>
  <c r="U35" i="16"/>
  <c r="U31" i="16"/>
  <c r="U27" i="16"/>
  <c r="U23" i="16"/>
  <c r="U19" i="16"/>
  <c r="U15" i="16"/>
  <c r="A41" i="16"/>
  <c r="A34" i="16"/>
  <c r="C32" i="16"/>
  <c r="B35" i="16"/>
  <c r="A32" i="16"/>
  <c r="A38" i="16"/>
  <c r="C33" i="16"/>
  <c r="B36" i="16"/>
  <c r="A39" i="16"/>
  <c r="A42" i="16"/>
  <c r="C36" i="16"/>
  <c r="B39" i="16"/>
  <c r="B42" i="16"/>
  <c r="B32" i="16"/>
  <c r="A35" i="16"/>
  <c r="C37" i="16"/>
  <c r="B40" i="16"/>
  <c r="C40" i="16"/>
  <c r="A33" i="16"/>
  <c r="B34" i="16"/>
  <c r="C35" i="16"/>
  <c r="A37" i="16"/>
  <c r="B38" i="16"/>
  <c r="C39" i="16"/>
  <c r="B41" i="16"/>
  <c r="D41" i="16" s="1"/>
  <c r="C42" i="16"/>
  <c r="B33" i="16"/>
  <c r="C34" i="16"/>
  <c r="A36" i="16"/>
  <c r="B37" i="16"/>
  <c r="C38" i="16"/>
  <c r="A40" i="16"/>
  <c r="C29" i="16"/>
  <c r="C21" i="16"/>
  <c r="A23" i="16"/>
  <c r="A25" i="16"/>
  <c r="B21" i="16"/>
  <c r="A27" i="16"/>
  <c r="A30" i="16"/>
  <c r="B25" i="16"/>
  <c r="B29" i="16"/>
  <c r="C23" i="16"/>
  <c r="C27" i="16"/>
  <c r="A21" i="16"/>
  <c r="A24" i="16"/>
  <c r="A28" i="16"/>
  <c r="B22" i="16"/>
  <c r="B26" i="16"/>
  <c r="B30" i="16"/>
  <c r="C24" i="16"/>
  <c r="C28" i="16"/>
  <c r="C30" i="16"/>
  <c r="A29" i="16"/>
  <c r="B23" i="16"/>
  <c r="D23" i="16" s="1"/>
  <c r="B27" i="16"/>
  <c r="D27" i="16" s="1"/>
  <c r="B31" i="16"/>
  <c r="D31" i="16" s="1"/>
  <c r="C25" i="16"/>
  <c r="A22" i="16"/>
  <c r="A26" i="16"/>
  <c r="A31" i="16"/>
  <c r="B24" i="16"/>
  <c r="B28" i="16"/>
  <c r="C22" i="16"/>
  <c r="D22" i="16" s="1"/>
  <c r="C26" i="16"/>
  <c r="AT15" i="16"/>
  <c r="AS14" i="16"/>
  <c r="AR13" i="16"/>
  <c r="AT11" i="16"/>
  <c r="AS10" i="16"/>
  <c r="AR9" i="16"/>
  <c r="AT7" i="16"/>
  <c r="AS6" i="16"/>
  <c r="AR5" i="16"/>
  <c r="AT3" i="16"/>
  <c r="AT16" i="16"/>
  <c r="AS15" i="16"/>
  <c r="AR14" i="16"/>
  <c r="AA1" i="16" s="1"/>
  <c r="AT12" i="16"/>
  <c r="AS11" i="16"/>
  <c r="AR10" i="16"/>
  <c r="AG1" i="16" s="1"/>
  <c r="AT8" i="16"/>
  <c r="AS7" i="16"/>
  <c r="AR6" i="16"/>
  <c r="AT4" i="16"/>
  <c r="AS3" i="16"/>
  <c r="AS16" i="16"/>
  <c r="AR15" i="16"/>
  <c r="AT13" i="16"/>
  <c r="AS12" i="16"/>
  <c r="AR11" i="16"/>
  <c r="AT9" i="16"/>
  <c r="AS8" i="16"/>
  <c r="AR7" i="16"/>
  <c r="AM1" i="16" s="1"/>
  <c r="AT5" i="16"/>
  <c r="AS4" i="16"/>
  <c r="AR3" i="16"/>
  <c r="AT14" i="16"/>
  <c r="AS9" i="16"/>
  <c r="AR4" i="16"/>
  <c r="AR16" i="16"/>
  <c r="AT10" i="16"/>
  <c r="AS5" i="16"/>
  <c r="AS13" i="16"/>
  <c r="AR8" i="16"/>
  <c r="AR12" i="16"/>
  <c r="AT6" i="16"/>
  <c r="AT30" i="16"/>
  <c r="AS29" i="16"/>
  <c r="AR28" i="16"/>
  <c r="AT26" i="16"/>
  <c r="AS25" i="16"/>
  <c r="AR24" i="16"/>
  <c r="AT22" i="16"/>
  <c r="AS21" i="16"/>
  <c r="AR20" i="16"/>
  <c r="AT18" i="16"/>
  <c r="AS17" i="16"/>
  <c r="AS30" i="16"/>
  <c r="AR29" i="16"/>
  <c r="AT27" i="16"/>
  <c r="AS26" i="16"/>
  <c r="AR25" i="16"/>
  <c r="AT23" i="16"/>
  <c r="AS22" i="16"/>
  <c r="AR21" i="16"/>
  <c r="AT19" i="16"/>
  <c r="AS18" i="16"/>
  <c r="AR17" i="16"/>
  <c r="AR30" i="16"/>
  <c r="AT28" i="16"/>
  <c r="AS27" i="16"/>
  <c r="AR26" i="16"/>
  <c r="AT24" i="16"/>
  <c r="AS23" i="16"/>
  <c r="AR22" i="16"/>
  <c r="AT20" i="16"/>
  <c r="AS19" i="16"/>
  <c r="AR18" i="16"/>
  <c r="AT25" i="16"/>
  <c r="AS20" i="16"/>
  <c r="AT29" i="16"/>
  <c r="AS24" i="16"/>
  <c r="AR19" i="16"/>
  <c r="AS28" i="16"/>
  <c r="AR23" i="16"/>
  <c r="AT17" i="16"/>
  <c r="AR27" i="16"/>
  <c r="AT21" i="16"/>
  <c r="A49" i="16"/>
  <c r="A47" i="16"/>
  <c r="A45" i="16"/>
  <c r="B48" i="16"/>
  <c r="B46" i="16"/>
  <c r="A48" i="16"/>
  <c r="A46" i="16"/>
  <c r="B49" i="16"/>
  <c r="B47" i="16"/>
  <c r="B45" i="16"/>
  <c r="Y72" i="16"/>
  <c r="X71" i="16"/>
  <c r="W70" i="16"/>
  <c r="Y68" i="16"/>
  <c r="X67" i="16"/>
  <c r="W66" i="16"/>
  <c r="Y64" i="16"/>
  <c r="X63" i="16"/>
  <c r="W62" i="16"/>
  <c r="Y60" i="16"/>
  <c r="X59" i="16"/>
  <c r="W58" i="16"/>
  <c r="Y56" i="16"/>
  <c r="X55" i="16"/>
  <c r="W54" i="16"/>
  <c r="Y52" i="16"/>
  <c r="X51" i="16"/>
  <c r="W50" i="16"/>
  <c r="Y48" i="16"/>
  <c r="X47" i="16"/>
  <c r="W46" i="16"/>
  <c r="X72" i="16"/>
  <c r="W71" i="16"/>
  <c r="Y69" i="16"/>
  <c r="X68" i="16"/>
  <c r="W67" i="16"/>
  <c r="Y65" i="16"/>
  <c r="X64" i="16"/>
  <c r="W63" i="16"/>
  <c r="Y61" i="16"/>
  <c r="X60" i="16"/>
  <c r="W59" i="16"/>
  <c r="Y57" i="16"/>
  <c r="X56" i="16"/>
  <c r="W55" i="16"/>
  <c r="Y53" i="16"/>
  <c r="X52" i="16"/>
  <c r="W51" i="16"/>
  <c r="Y49" i="16"/>
  <c r="X48" i="16"/>
  <c r="W47" i="16"/>
  <c r="Y45" i="16"/>
  <c r="W72" i="16"/>
  <c r="Y70" i="16"/>
  <c r="X69" i="16"/>
  <c r="W68" i="16"/>
  <c r="Y66" i="16"/>
  <c r="X65" i="16"/>
  <c r="W64" i="16"/>
  <c r="Y62" i="16"/>
  <c r="X61" i="16"/>
  <c r="W60" i="16"/>
  <c r="Y58" i="16"/>
  <c r="X57" i="16"/>
  <c r="W56" i="16"/>
  <c r="Y54" i="16"/>
  <c r="X53" i="16"/>
  <c r="W52" i="16"/>
  <c r="Y50" i="16"/>
  <c r="X49" i="16"/>
  <c r="W48" i="16"/>
  <c r="Y46" i="16"/>
  <c r="X45" i="16"/>
  <c r="X70" i="16"/>
  <c r="W65" i="16"/>
  <c r="Y59" i="16"/>
  <c r="X54" i="16"/>
  <c r="W49" i="16"/>
  <c r="W69" i="16"/>
  <c r="Y63" i="16"/>
  <c r="X58" i="16"/>
  <c r="W53" i="16"/>
  <c r="Y47" i="16"/>
  <c r="X66" i="16"/>
  <c r="Y55" i="16"/>
  <c r="W45" i="16"/>
  <c r="Y67" i="16"/>
  <c r="X62" i="16"/>
  <c r="W57" i="16"/>
  <c r="Y51" i="16"/>
  <c r="X46" i="16"/>
  <c r="Y71" i="16"/>
  <c r="W61" i="16"/>
  <c r="X50" i="16"/>
  <c r="AC62" i="4"/>
  <c r="AD62" i="4"/>
  <c r="AE62" i="4"/>
  <c r="AF62" i="4"/>
  <c r="AG62" i="4"/>
  <c r="AH62" i="4"/>
  <c r="AI62" i="4"/>
  <c r="AC63" i="4"/>
  <c r="AD63" i="4"/>
  <c r="AE63" i="4"/>
  <c r="AF63" i="4"/>
  <c r="AG63" i="4"/>
  <c r="AH63" i="4"/>
  <c r="AI63" i="4"/>
  <c r="AC64" i="4"/>
  <c r="AD64" i="4"/>
  <c r="AE64" i="4"/>
  <c r="AF64" i="4"/>
  <c r="AG64" i="4"/>
  <c r="AH64" i="4"/>
  <c r="AI64" i="4"/>
  <c r="AC65" i="4"/>
  <c r="AD65" i="4"/>
  <c r="AE65" i="4"/>
  <c r="AF65" i="4"/>
  <c r="AG65" i="4"/>
  <c r="AH65" i="4"/>
  <c r="AI65" i="4"/>
  <c r="AC66" i="4"/>
  <c r="AD66" i="4"/>
  <c r="AE66" i="4"/>
  <c r="AF66" i="4"/>
  <c r="AG66" i="4"/>
  <c r="AH66" i="4"/>
  <c r="AI66" i="4"/>
  <c r="AC67" i="4"/>
  <c r="AD67" i="4"/>
  <c r="AE67" i="4"/>
  <c r="AF67" i="4"/>
  <c r="AG67" i="4"/>
  <c r="AH67" i="4"/>
  <c r="AI67" i="4"/>
  <c r="AC68" i="4"/>
  <c r="AD68" i="4"/>
  <c r="AE68" i="4"/>
  <c r="AF68" i="4"/>
  <c r="AG68" i="4"/>
  <c r="AH68" i="4"/>
  <c r="AI68" i="4"/>
  <c r="AC69" i="4"/>
  <c r="AD69" i="4"/>
  <c r="AE69" i="4"/>
  <c r="AF69" i="4"/>
  <c r="AG69" i="4"/>
  <c r="AH69" i="4"/>
  <c r="AI69" i="4"/>
  <c r="AC70" i="4"/>
  <c r="AD70" i="4"/>
  <c r="AE70" i="4"/>
  <c r="AF70" i="4"/>
  <c r="AG70" i="4"/>
  <c r="AH70" i="4"/>
  <c r="AI70" i="4"/>
  <c r="AC71" i="4"/>
  <c r="AD71" i="4"/>
  <c r="AE71" i="4"/>
  <c r="AF71" i="4"/>
  <c r="AG71" i="4"/>
  <c r="AH71" i="4"/>
  <c r="AI71" i="4"/>
  <c r="AC72" i="4"/>
  <c r="AD72" i="4"/>
  <c r="AE72" i="4"/>
  <c r="AF72" i="4"/>
  <c r="AG72" i="4"/>
  <c r="AH72" i="4"/>
  <c r="AI72" i="4"/>
  <c r="AI61" i="4"/>
  <c r="AH61" i="4"/>
  <c r="AG61" i="4"/>
  <c r="AF61" i="4"/>
  <c r="AE61" i="4"/>
  <c r="AD61" i="4"/>
  <c r="AC61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G13" i="16"/>
  <c r="AM36" i="16"/>
  <c r="AG38" i="16"/>
  <c r="AL41" i="16"/>
  <c r="AG21" i="16"/>
  <c r="AG5" i="16"/>
  <c r="AG12" i="16"/>
  <c r="AG30" i="16"/>
  <c r="AM29" i="16"/>
  <c r="AM35" i="16"/>
  <c r="AM8" i="16"/>
  <c r="AF42" i="16"/>
  <c r="AO17" i="4" a="1"/>
  <c r="AM16" i="16"/>
  <c r="AG32" i="16"/>
  <c r="AG37" i="16"/>
  <c r="AG24" i="16"/>
  <c r="AM3" i="16"/>
  <c r="AG6" i="16"/>
  <c r="AM18" i="16"/>
  <c r="AM15" i="16"/>
  <c r="AM4" i="16"/>
  <c r="AG16" i="16"/>
  <c r="AG17" i="16"/>
  <c r="AG27" i="16"/>
  <c r="AM23" i="16"/>
  <c r="AM6" i="16"/>
  <c r="AG33" i="16"/>
  <c r="X7" i="16" a="1"/>
  <c r="AM26" i="16"/>
  <c r="AM25" i="16"/>
  <c r="AF41" i="16"/>
  <c r="AM12" i="16"/>
  <c r="AG36" i="16"/>
  <c r="AM31" i="16"/>
  <c r="AG11" i="16"/>
  <c r="AM28" i="16"/>
  <c r="AG28" i="16"/>
  <c r="AG26" i="16"/>
  <c r="AM10" i="16"/>
  <c r="AM13" i="16"/>
  <c r="AG15" i="16"/>
  <c r="AG35" i="16"/>
  <c r="AM22" i="16"/>
  <c r="AM39" i="16"/>
  <c r="AG18" i="16"/>
  <c r="AM30" i="16"/>
  <c r="AG29" i="16"/>
  <c r="AG10" i="16"/>
  <c r="AM11" i="16"/>
  <c r="AO3" i="4" a="1"/>
  <c r="AM37" i="16"/>
  <c r="AM33" i="16"/>
  <c r="AG8" i="16"/>
  <c r="AG14" i="16"/>
  <c r="AM24" i="16"/>
  <c r="AG4" i="16"/>
  <c r="AM19" i="16"/>
  <c r="AM14" i="16"/>
  <c r="AG25" i="16"/>
  <c r="AM38" i="16"/>
  <c r="AG7" i="16"/>
  <c r="AG31" i="16"/>
  <c r="AG22" i="16"/>
  <c r="AM9" i="16"/>
  <c r="AG9" i="16"/>
  <c r="AM32" i="16"/>
  <c r="AG23" i="16"/>
  <c r="AM7" i="16"/>
  <c r="AG19" i="16"/>
  <c r="AM34" i="16"/>
  <c r="AL42" i="16"/>
  <c r="AM21" i="16"/>
  <c r="AM27" i="16"/>
  <c r="AG20" i="16"/>
  <c r="AG3" i="16"/>
  <c r="AG34" i="16"/>
  <c r="AG39" i="16"/>
  <c r="AM17" i="16"/>
  <c r="AM5" i="16"/>
  <c r="AM20" i="16"/>
  <c r="AU25" i="16" l="1"/>
  <c r="AU10" i="16"/>
  <c r="X8" i="16"/>
  <c r="X7" i="16"/>
  <c r="X9" i="16"/>
  <c r="D36" i="16"/>
  <c r="D37" i="16"/>
  <c r="D35" i="16"/>
  <c r="D32" i="16"/>
  <c r="D39" i="16"/>
  <c r="D34" i="16"/>
  <c r="D21" i="16"/>
  <c r="D42" i="16"/>
  <c r="D28" i="16"/>
  <c r="D29" i="16"/>
  <c r="D40" i="16"/>
  <c r="D30" i="16"/>
  <c r="D26" i="16"/>
  <c r="D25" i="16"/>
  <c r="D33" i="16"/>
  <c r="D38" i="16"/>
  <c r="D24" i="16"/>
  <c r="AU27" i="16"/>
  <c r="AU18" i="16"/>
  <c r="AU21" i="16"/>
  <c r="AU14" i="16"/>
  <c r="AU29" i="16"/>
  <c r="AU24" i="16"/>
  <c r="AU22" i="16"/>
  <c r="AU12" i="16"/>
  <c r="AU20" i="16"/>
  <c r="AU23" i="16"/>
  <c r="AU30" i="16"/>
  <c r="AU6" i="16"/>
  <c r="AU3" i="16"/>
  <c r="AU17" i="16"/>
  <c r="AU28" i="16"/>
  <c r="AU19" i="16"/>
  <c r="AU26" i="16"/>
  <c r="AU8" i="16"/>
  <c r="AU15" i="16"/>
  <c r="AU13" i="16"/>
  <c r="AU4" i="16"/>
  <c r="AU11" i="16"/>
  <c r="AU9" i="16"/>
  <c r="AU16" i="16"/>
  <c r="AU7" i="16"/>
  <c r="AU5" i="16"/>
  <c r="M9" i="10"/>
  <c r="K10" i="10" s="1"/>
  <c r="M9" i="8"/>
  <c r="J10" i="8" s="1"/>
  <c r="AO17" i="4"/>
  <c r="AP18" i="4"/>
  <c r="AQ19" i="4"/>
  <c r="AO21" i="4"/>
  <c r="AP22" i="4"/>
  <c r="AQ23" i="4"/>
  <c r="AO25" i="4"/>
  <c r="AP26" i="4"/>
  <c r="AQ27" i="4"/>
  <c r="AO29" i="4"/>
  <c r="AP30" i="4"/>
  <c r="AP19" i="4"/>
  <c r="AO22" i="4"/>
  <c r="AQ24" i="4"/>
  <c r="AO26" i="4"/>
  <c r="AO30" i="4"/>
  <c r="AP17" i="4"/>
  <c r="AQ18" i="4"/>
  <c r="AO20" i="4"/>
  <c r="AP21" i="4"/>
  <c r="AQ22" i="4"/>
  <c r="AO24" i="4"/>
  <c r="AP25" i="4"/>
  <c r="AQ26" i="4"/>
  <c r="AO28" i="4"/>
  <c r="AP29" i="4"/>
  <c r="AQ30" i="4"/>
  <c r="AP27" i="4"/>
  <c r="AQ17" i="4"/>
  <c r="AO19" i="4"/>
  <c r="AP20" i="4"/>
  <c r="AQ21" i="4"/>
  <c r="AO23" i="4"/>
  <c r="AP24" i="4"/>
  <c r="AQ25" i="4"/>
  <c r="AO27" i="4"/>
  <c r="AP28" i="4"/>
  <c r="AQ29" i="4"/>
  <c r="AO18" i="4"/>
  <c r="AQ20" i="4"/>
  <c r="AP23" i="4"/>
  <c r="AQ28" i="4"/>
  <c r="AO4" i="4"/>
  <c r="AP5" i="4"/>
  <c r="AQ6" i="4"/>
  <c r="AO8" i="4"/>
  <c r="AP9" i="4"/>
  <c r="AQ10" i="4"/>
  <c r="AO12" i="4"/>
  <c r="AP13" i="4"/>
  <c r="AQ14" i="4"/>
  <c r="AO16" i="4"/>
  <c r="AO3" i="4"/>
  <c r="AP4" i="4"/>
  <c r="AQ5" i="4"/>
  <c r="AO7" i="4"/>
  <c r="AP8" i="4"/>
  <c r="AQ9" i="4"/>
  <c r="AO11" i="4"/>
  <c r="AP12" i="4"/>
  <c r="AQ13" i="4"/>
  <c r="AO15" i="4"/>
  <c r="AP16" i="4"/>
  <c r="AP3" i="4"/>
  <c r="AQ4" i="4"/>
  <c r="AO6" i="4"/>
  <c r="AP7" i="4"/>
  <c r="AQ8" i="4"/>
  <c r="AO10" i="4"/>
  <c r="AP11" i="4"/>
  <c r="AQ12" i="4"/>
  <c r="AO14" i="4"/>
  <c r="AP15" i="4"/>
  <c r="AQ16" i="4"/>
  <c r="AQ3" i="4"/>
  <c r="AO5" i="4"/>
  <c r="AP6" i="4"/>
  <c r="AQ7" i="4"/>
  <c r="AO9" i="4"/>
  <c r="AP10" i="4"/>
  <c r="AQ11" i="4"/>
  <c r="AO13" i="4"/>
  <c r="AP14" i="4"/>
  <c r="AQ15" i="4"/>
  <c r="M9" i="6"/>
  <c r="I10" i="6" s="1"/>
  <c r="M9" i="9"/>
  <c r="K10" i="9" s="1"/>
  <c r="M9" i="11"/>
  <c r="K10" i="11" s="1"/>
  <c r="M9" i="7"/>
  <c r="J10" i="7" s="1"/>
  <c r="M9" i="4"/>
  <c r="K10" i="4" s="1"/>
  <c r="X17" i="11"/>
  <c r="X8" i="11"/>
  <c r="X7" i="11"/>
  <c r="X6" i="11"/>
  <c r="AJ1" i="11"/>
  <c r="AD1" i="11"/>
  <c r="X17" i="10"/>
  <c r="X8" i="10"/>
  <c r="X7" i="10"/>
  <c r="X6" i="10"/>
  <c r="AJ1" i="10"/>
  <c r="AD1" i="10"/>
  <c r="X17" i="9"/>
  <c r="X8" i="9"/>
  <c r="X7" i="9"/>
  <c r="X6" i="9"/>
  <c r="AJ1" i="9"/>
  <c r="AD1" i="9"/>
  <c r="X17" i="8"/>
  <c r="X8" i="8"/>
  <c r="X7" i="8"/>
  <c r="X6" i="8"/>
  <c r="AJ1" i="8"/>
  <c r="AD1" i="8"/>
  <c r="X8" i="7"/>
  <c r="X7" i="7"/>
  <c r="X6" i="7"/>
  <c r="AJ1" i="7"/>
  <c r="AD1" i="7"/>
  <c r="X17" i="6"/>
  <c r="X8" i="6"/>
  <c r="X7" i="6"/>
  <c r="X6" i="6"/>
  <c r="AJ1" i="6"/>
  <c r="AD1" i="6"/>
  <c r="X17" i="5"/>
  <c r="X8" i="5"/>
  <c r="X7" i="5"/>
  <c r="X6" i="5"/>
  <c r="AJ1" i="5"/>
  <c r="AD1" i="5"/>
  <c r="AA72" i="4"/>
  <c r="Z72" i="4"/>
  <c r="AA71" i="4"/>
  <c r="Z71" i="4"/>
  <c r="AA70" i="4"/>
  <c r="Z70" i="4"/>
  <c r="AA69" i="4"/>
  <c r="Z69" i="4"/>
  <c r="AA68" i="4"/>
  <c r="Z68" i="4"/>
  <c r="AA67" i="4"/>
  <c r="Z67" i="4"/>
  <c r="AA66" i="4"/>
  <c r="Z66" i="4"/>
  <c r="AA65" i="4"/>
  <c r="Z65" i="4"/>
  <c r="AA64" i="4"/>
  <c r="Z64" i="4"/>
  <c r="AA63" i="4"/>
  <c r="Z63" i="4"/>
  <c r="AA62" i="4"/>
  <c r="Z62" i="4"/>
  <c r="AA61" i="4"/>
  <c r="Z61" i="4"/>
  <c r="F61" i="4"/>
  <c r="E61" i="4"/>
  <c r="D61" i="4"/>
  <c r="C61" i="4"/>
  <c r="F60" i="4"/>
  <c r="E60" i="4"/>
  <c r="D60" i="4"/>
  <c r="C60" i="4"/>
  <c r="F59" i="4"/>
  <c r="E59" i="4"/>
  <c r="D59" i="4"/>
  <c r="C59" i="4"/>
  <c r="F58" i="4"/>
  <c r="E58" i="4"/>
  <c r="D58" i="4"/>
  <c r="C58" i="4"/>
  <c r="F57" i="4"/>
  <c r="E57" i="4"/>
  <c r="D57" i="4"/>
  <c r="C57" i="4"/>
  <c r="F56" i="4"/>
  <c r="E56" i="4"/>
  <c r="D56" i="4"/>
  <c r="C56" i="4"/>
  <c r="F55" i="4"/>
  <c r="E55" i="4"/>
  <c r="D55" i="4"/>
  <c r="C55" i="4"/>
  <c r="F54" i="4"/>
  <c r="E54" i="4"/>
  <c r="D54" i="4"/>
  <c r="C54" i="4"/>
  <c r="X17" i="4"/>
  <c r="X8" i="4"/>
  <c r="X7" i="4"/>
  <c r="X6" i="4"/>
  <c r="AN8" i="16" a="1"/>
  <c r="AH27" i="16" a="1"/>
  <c r="AH30" i="16" a="1"/>
  <c r="AN23" i="16" a="1"/>
  <c r="AN24" i="16" a="1"/>
  <c r="AN21" i="16" a="1"/>
  <c r="AH10" i="16" a="1"/>
  <c r="AH3" i="16" a="1"/>
  <c r="AM42" i="16" a="1"/>
  <c r="AH23" i="16" a="1"/>
  <c r="AH25" i="16" a="1"/>
  <c r="AH35" i="16" a="1"/>
  <c r="AH9" i="16" a="1"/>
  <c r="AG42" i="16" a="1"/>
  <c r="AN14" i="16" a="1"/>
  <c r="AN10" i="16" a="1"/>
  <c r="AN32" i="16" a="1"/>
  <c r="AH14" i="16" a="1"/>
  <c r="AH13" i="16" a="1"/>
  <c r="AN13" i="16" a="1"/>
  <c r="AN22" i="16" a="1"/>
  <c r="AN37" i="16" a="1"/>
  <c r="AH18" i="16" a="1"/>
  <c r="X10" i="16" a="1"/>
  <c r="AN6" i="16" a="1"/>
  <c r="AN4" i="16" a="1"/>
  <c r="AH17" i="16" a="1"/>
  <c r="AH34" i="16" a="1"/>
  <c r="AH7" i="16" a="1"/>
  <c r="AN16" i="16" a="1"/>
  <c r="AH15" i="16" a="1"/>
  <c r="AN30" i="16" a="1"/>
  <c r="AH36" i="16" a="1"/>
  <c r="AH22" i="16" a="1"/>
  <c r="AH5" i="16" a="1"/>
  <c r="AH31" i="16" a="1"/>
  <c r="AN38" i="16" a="1"/>
  <c r="AN19" i="16" a="1"/>
  <c r="AH37" i="16" a="1"/>
  <c r="AH19" i="16" a="1"/>
  <c r="AH8" i="16" a="1"/>
  <c r="AN25" i="16" a="1"/>
  <c r="AH20" i="16" a="1"/>
  <c r="AN26" i="16" a="1"/>
  <c r="AH26" i="16" a="1"/>
  <c r="AH24" i="16" a="1"/>
  <c r="AH32" i="16" a="1"/>
  <c r="AN9" i="16" a="1"/>
  <c r="AN29" i="16" a="1"/>
  <c r="AN7" i="16" a="1"/>
  <c r="AN3" i="16" a="1"/>
  <c r="AN15" i="16" a="1"/>
  <c r="AM41" i="16" a="1"/>
  <c r="AN18" i="16" a="1"/>
  <c r="AN17" i="16" a="1"/>
  <c r="AH21" i="16" a="1"/>
  <c r="AN34" i="16" a="1"/>
  <c r="AN12" i="16" a="1"/>
  <c r="AH33" i="16" a="1"/>
  <c r="AN5" i="16" a="1"/>
  <c r="AN36" i="16" a="1"/>
  <c r="AN35" i="16" a="1"/>
  <c r="AH29" i="16" a="1"/>
  <c r="AN11" i="16" a="1"/>
  <c r="AH28" i="16" a="1"/>
  <c r="AH4" i="16" a="1"/>
  <c r="AH16" i="16" a="1"/>
  <c r="AG41" i="16" a="1"/>
  <c r="AN33" i="16" a="1"/>
  <c r="AN20" i="16" a="1"/>
  <c r="AN28" i="16" a="1"/>
  <c r="AH12" i="16" a="1"/>
  <c r="AN27" i="16" a="1"/>
  <c r="AH6" i="16" a="1"/>
  <c r="AN31" i="16" a="1"/>
  <c r="AH38" i="16" a="1"/>
  <c r="AH11" i="16" a="1"/>
  <c r="X11" i="16" l="1"/>
  <c r="X10" i="16"/>
  <c r="X12" i="16"/>
  <c r="AH25" i="16"/>
  <c r="AJ25" i="16"/>
  <c r="AI25" i="16"/>
  <c r="AI15" i="16"/>
  <c r="AH15" i="16"/>
  <c r="AJ15" i="16"/>
  <c r="U42" i="5"/>
  <c r="U37" i="5"/>
  <c r="U38" i="5"/>
  <c r="U39" i="5"/>
  <c r="U36" i="5"/>
  <c r="U40" i="5"/>
  <c r="U41" i="5"/>
  <c r="I10" i="8"/>
  <c r="K10" i="8"/>
  <c r="AI32" i="16"/>
  <c r="AH32" i="16"/>
  <c r="AJ32" i="16"/>
  <c r="AJ35" i="16"/>
  <c r="AI35" i="16"/>
  <c r="AH35" i="16"/>
  <c r="AH24" i="16"/>
  <c r="AJ24" i="16"/>
  <c r="AI24" i="16"/>
  <c r="AI16" i="16"/>
  <c r="AH16" i="16"/>
  <c r="AJ16" i="16"/>
  <c r="AI22" i="16"/>
  <c r="AH22" i="16"/>
  <c r="AJ22" i="16"/>
  <c r="I10" i="10"/>
  <c r="AI7" i="16"/>
  <c r="AH7" i="16"/>
  <c r="AJ7" i="16"/>
  <c r="AH9" i="16"/>
  <c r="AI9" i="16"/>
  <c r="AJ9" i="16"/>
  <c r="AJ10" i="16"/>
  <c r="AH10" i="16"/>
  <c r="AI10" i="16"/>
  <c r="AH27" i="16"/>
  <c r="AJ27" i="16"/>
  <c r="AI27" i="16"/>
  <c r="AJ13" i="16"/>
  <c r="AI13" i="16"/>
  <c r="AH13" i="16"/>
  <c r="AJ5" i="16"/>
  <c r="AI5" i="16"/>
  <c r="AH5" i="16"/>
  <c r="U32" i="5"/>
  <c r="U4" i="5"/>
  <c r="U9" i="5"/>
  <c r="U13" i="5"/>
  <c r="U17" i="5"/>
  <c r="U21" i="5"/>
  <c r="U25" i="5"/>
  <c r="U29" i="5"/>
  <c r="U33" i="5"/>
  <c r="U5" i="5"/>
  <c r="U10" i="5"/>
  <c r="U14" i="5"/>
  <c r="U18" i="5"/>
  <c r="U22" i="5"/>
  <c r="U26" i="5"/>
  <c r="U30" i="5"/>
  <c r="U34" i="5"/>
  <c r="U6" i="5"/>
  <c r="U11" i="5"/>
  <c r="U15" i="5"/>
  <c r="U19" i="5"/>
  <c r="U23" i="5"/>
  <c r="U27" i="5"/>
  <c r="U31" i="5"/>
  <c r="U35" i="5"/>
  <c r="U7" i="5"/>
  <c r="U3" i="5"/>
  <c r="U8" i="5"/>
  <c r="U12" i="5"/>
  <c r="U16" i="5"/>
  <c r="U20" i="5"/>
  <c r="U24" i="5"/>
  <c r="U28" i="5"/>
  <c r="AG41" i="16"/>
  <c r="AI41" i="16"/>
  <c r="AH41" i="16"/>
  <c r="AH14" i="16"/>
  <c r="AJ14" i="16"/>
  <c r="AI14" i="16"/>
  <c r="AH23" i="16"/>
  <c r="AJ23" i="16"/>
  <c r="AI23" i="16"/>
  <c r="AJ29" i="16"/>
  <c r="AI29" i="16"/>
  <c r="AH29" i="16"/>
  <c r="AI20" i="16"/>
  <c r="AH20" i="16"/>
  <c r="AJ20" i="16"/>
  <c r="AI4" i="16"/>
  <c r="AH4" i="16"/>
  <c r="AJ4" i="16"/>
  <c r="AI36" i="16"/>
  <c r="AJ36" i="16"/>
  <c r="AH36" i="16"/>
  <c r="AJ12" i="16"/>
  <c r="AI12" i="16"/>
  <c r="AH12" i="16"/>
  <c r="AI31" i="16"/>
  <c r="AH31" i="16"/>
  <c r="AJ31" i="16"/>
  <c r="AJ28" i="16"/>
  <c r="AI28" i="16"/>
  <c r="AH28" i="16"/>
  <c r="AH30" i="16"/>
  <c r="AJ30" i="16"/>
  <c r="AI30" i="16"/>
  <c r="AJ17" i="16"/>
  <c r="AI17" i="16"/>
  <c r="AH17" i="16"/>
  <c r="AI11" i="16"/>
  <c r="AH11" i="16"/>
  <c r="AJ11" i="16"/>
  <c r="AJ26" i="16"/>
  <c r="AI26" i="16"/>
  <c r="AH26" i="16"/>
  <c r="AI18" i="16"/>
  <c r="AH18" i="16"/>
  <c r="AJ18" i="16"/>
  <c r="AJ33" i="16"/>
  <c r="AI33" i="16"/>
  <c r="AH33" i="16"/>
  <c r="AG42" i="16"/>
  <c r="AI42" i="16"/>
  <c r="AH42" i="16"/>
  <c r="AO26" i="16"/>
  <c r="AN26" i="16"/>
  <c r="AP26" i="16"/>
  <c r="AO10" i="16"/>
  <c r="AN10" i="16"/>
  <c r="AP10" i="16"/>
  <c r="AP9" i="16"/>
  <c r="AN9" i="16"/>
  <c r="AO9" i="16"/>
  <c r="AP34" i="16"/>
  <c r="AO34" i="16"/>
  <c r="AN34" i="16"/>
  <c r="AN30" i="16"/>
  <c r="AP30" i="16"/>
  <c r="AO30" i="16"/>
  <c r="AO29" i="16"/>
  <c r="AN29" i="16"/>
  <c r="AP29" i="16"/>
  <c r="AN20" i="16"/>
  <c r="AP20" i="16"/>
  <c r="AO20" i="16"/>
  <c r="AI19" i="16"/>
  <c r="AH19" i="16"/>
  <c r="AJ19" i="16"/>
  <c r="AN8" i="16"/>
  <c r="AO8" i="16"/>
  <c r="AP8" i="16"/>
  <c r="AN14" i="16"/>
  <c r="AP14" i="16"/>
  <c r="AO14" i="16"/>
  <c r="AJ3" i="16"/>
  <c r="AJ39" i="16" s="1"/>
  <c r="AI3" i="16"/>
  <c r="AI39" i="16" s="1"/>
  <c r="AH3" i="16"/>
  <c r="AH39" i="16" s="1"/>
  <c r="AN13" i="16"/>
  <c r="AP13" i="16"/>
  <c r="AO13" i="16"/>
  <c r="AP15" i="16"/>
  <c r="AO15" i="16"/>
  <c r="AN15" i="16"/>
  <c r="AO31" i="16"/>
  <c r="AN31" i="16"/>
  <c r="AP31" i="16"/>
  <c r="AO5" i="16"/>
  <c r="AN5" i="16"/>
  <c r="AP5" i="16"/>
  <c r="AN42" i="16"/>
  <c r="AO42" i="16"/>
  <c r="AM42" i="16"/>
  <c r="AP37" i="16"/>
  <c r="AO37" i="16"/>
  <c r="AN37" i="16"/>
  <c r="AO4" i="16"/>
  <c r="AN4" i="16"/>
  <c r="AP4" i="16"/>
  <c r="AP38" i="16"/>
  <c r="AO38" i="16"/>
  <c r="AN38" i="16"/>
  <c r="AO35" i="16"/>
  <c r="AN35" i="16"/>
  <c r="AP35" i="16"/>
  <c r="AN16" i="16"/>
  <c r="AP16" i="16"/>
  <c r="AO16" i="16"/>
  <c r="AH37" i="16"/>
  <c r="AI37" i="16"/>
  <c r="AJ37" i="16"/>
  <c r="AN22" i="16"/>
  <c r="AP22" i="16"/>
  <c r="AO22" i="16"/>
  <c r="AP24" i="16"/>
  <c r="AO24" i="16"/>
  <c r="AN24" i="16"/>
  <c r="AN27" i="16"/>
  <c r="AP27" i="16"/>
  <c r="AO27" i="16"/>
  <c r="AO19" i="16"/>
  <c r="AN19" i="16"/>
  <c r="AP19" i="16"/>
  <c r="AP3" i="16"/>
  <c r="AP39" i="16" s="1"/>
  <c r="AO3" i="16"/>
  <c r="AO39" i="16" s="1"/>
  <c r="AN3" i="16"/>
  <c r="AN39" i="16" s="1"/>
  <c r="AP6" i="16"/>
  <c r="AO6" i="16"/>
  <c r="AN6" i="16"/>
  <c r="AP21" i="16"/>
  <c r="AO21" i="16"/>
  <c r="AN21" i="16"/>
  <c r="AO17" i="16"/>
  <c r="AP17" i="16"/>
  <c r="AN17" i="16"/>
  <c r="AO28" i="16"/>
  <c r="AN28" i="16"/>
  <c r="AP28" i="16"/>
  <c r="AN32" i="16"/>
  <c r="AP32" i="16"/>
  <c r="AO32" i="16"/>
  <c r="AJ8" i="16"/>
  <c r="AI8" i="16"/>
  <c r="AH8" i="16"/>
  <c r="AJ6" i="16"/>
  <c r="AI6" i="16"/>
  <c r="AH6" i="16"/>
  <c r="AO25" i="16"/>
  <c r="AN25" i="16"/>
  <c r="AP25" i="16"/>
  <c r="AN18" i="16"/>
  <c r="AP18" i="16"/>
  <c r="AO18" i="16"/>
  <c r="AO41" i="16"/>
  <c r="AM41" i="16"/>
  <c r="AN41" i="16"/>
  <c r="AP23" i="16"/>
  <c r="AO23" i="16"/>
  <c r="AN23" i="16"/>
  <c r="AP33" i="16"/>
  <c r="AO33" i="16"/>
  <c r="AN33" i="16"/>
  <c r="AP11" i="16"/>
  <c r="AN11" i="16"/>
  <c r="AO11" i="16"/>
  <c r="AO7" i="16"/>
  <c r="AN7" i="16"/>
  <c r="AP7" i="16"/>
  <c r="AJ21" i="16"/>
  <c r="AI21" i="16"/>
  <c r="AH21" i="16"/>
  <c r="AO12" i="16"/>
  <c r="AP12" i="16"/>
  <c r="AN12" i="16"/>
  <c r="AP36" i="16"/>
  <c r="AO36" i="16"/>
  <c r="AN36" i="16"/>
  <c r="AH38" i="16"/>
  <c r="AI38" i="16"/>
  <c r="AJ38" i="16"/>
  <c r="AI34" i="16"/>
  <c r="AJ34" i="16"/>
  <c r="AH34" i="16"/>
  <c r="U26" i="4"/>
  <c r="U30" i="4"/>
  <c r="U34" i="4"/>
  <c r="U38" i="4"/>
  <c r="U42" i="4"/>
  <c r="U27" i="4"/>
  <c r="U31" i="4"/>
  <c r="U35" i="4"/>
  <c r="U39" i="4"/>
  <c r="U28" i="4"/>
  <c r="U32" i="4"/>
  <c r="U36" i="4"/>
  <c r="U40" i="4"/>
  <c r="U25" i="4"/>
  <c r="U29" i="4"/>
  <c r="U33" i="4"/>
  <c r="U37" i="4"/>
  <c r="U41" i="4"/>
  <c r="J10" i="10"/>
  <c r="K10" i="6"/>
  <c r="U42" i="11"/>
  <c r="U30" i="11"/>
  <c r="U41" i="11"/>
  <c r="U37" i="11"/>
  <c r="U33" i="11"/>
  <c r="U29" i="11"/>
  <c r="U40" i="11"/>
  <c r="U36" i="11"/>
  <c r="U32" i="11"/>
  <c r="U28" i="11"/>
  <c r="U34" i="11"/>
  <c r="U25" i="11"/>
  <c r="U39" i="11"/>
  <c r="U35" i="11"/>
  <c r="U31" i="11"/>
  <c r="U27" i="11"/>
  <c r="U38" i="11"/>
  <c r="U26" i="11"/>
  <c r="U39" i="10"/>
  <c r="U42" i="10"/>
  <c r="U38" i="10"/>
  <c r="U34" i="10"/>
  <c r="U30" i="10"/>
  <c r="U26" i="10"/>
  <c r="U36" i="10"/>
  <c r="U28" i="10"/>
  <c r="U31" i="10"/>
  <c r="U41" i="10"/>
  <c r="U37" i="10"/>
  <c r="U33" i="10"/>
  <c r="U29" i="10"/>
  <c r="U25" i="10"/>
  <c r="U40" i="10"/>
  <c r="U32" i="10"/>
  <c r="U35" i="10"/>
  <c r="U27" i="10"/>
  <c r="U34" i="9"/>
  <c r="U41" i="9"/>
  <c r="U40" i="9"/>
  <c r="U36" i="9"/>
  <c r="U32" i="9"/>
  <c r="U28" i="9"/>
  <c r="U38" i="9"/>
  <c r="U26" i="9"/>
  <c r="U33" i="9"/>
  <c r="U25" i="9"/>
  <c r="U39" i="9"/>
  <c r="U35" i="9"/>
  <c r="U31" i="9"/>
  <c r="U27" i="9"/>
  <c r="U42" i="9"/>
  <c r="U30" i="9"/>
  <c r="U37" i="9"/>
  <c r="U29" i="9"/>
  <c r="U32" i="8"/>
  <c r="U39" i="8"/>
  <c r="U42" i="8"/>
  <c r="U38" i="8"/>
  <c r="U34" i="8"/>
  <c r="U30" i="8"/>
  <c r="U26" i="8"/>
  <c r="U36" i="8"/>
  <c r="U28" i="8"/>
  <c r="U31" i="8"/>
  <c r="U41" i="8"/>
  <c r="U37" i="8"/>
  <c r="U33" i="8"/>
  <c r="U29" i="8"/>
  <c r="U25" i="8"/>
  <c r="U40" i="8"/>
  <c r="U35" i="8"/>
  <c r="U27" i="8"/>
  <c r="U42" i="7"/>
  <c r="U38" i="7"/>
  <c r="U26" i="7"/>
  <c r="U41" i="7"/>
  <c r="U37" i="7"/>
  <c r="U33" i="7"/>
  <c r="U29" i="7"/>
  <c r="U25" i="7"/>
  <c r="U40" i="7"/>
  <c r="U36" i="7"/>
  <c r="U32" i="7"/>
  <c r="U28" i="7"/>
  <c r="U30" i="7"/>
  <c r="U39" i="7"/>
  <c r="U35" i="7"/>
  <c r="U31" i="7"/>
  <c r="U27" i="7"/>
  <c r="U34" i="7"/>
  <c r="U40" i="6"/>
  <c r="U36" i="6"/>
  <c r="U32" i="6"/>
  <c r="U28" i="6"/>
  <c r="U39" i="6"/>
  <c r="U35" i="6"/>
  <c r="U31" i="6"/>
  <c r="U27" i="6"/>
  <c r="U42" i="6"/>
  <c r="U38" i="6"/>
  <c r="U34" i="6"/>
  <c r="U30" i="6"/>
  <c r="U26" i="6"/>
  <c r="U41" i="6"/>
  <c r="U37" i="6"/>
  <c r="U33" i="6"/>
  <c r="U29" i="6"/>
  <c r="U25" i="6"/>
  <c r="L9" i="4"/>
  <c r="U6" i="4"/>
  <c r="U10" i="4"/>
  <c r="U14" i="4"/>
  <c r="U18" i="4"/>
  <c r="U22" i="4"/>
  <c r="U7" i="4"/>
  <c r="U11" i="4"/>
  <c r="U15" i="4"/>
  <c r="U19" i="4"/>
  <c r="U23" i="4"/>
  <c r="U3" i="4"/>
  <c r="U4" i="4"/>
  <c r="U8" i="4"/>
  <c r="U12" i="4"/>
  <c r="U16" i="4"/>
  <c r="U20" i="4"/>
  <c r="U24" i="4"/>
  <c r="U5" i="4"/>
  <c r="U9" i="4"/>
  <c r="U13" i="4"/>
  <c r="U17" i="4"/>
  <c r="U21" i="4"/>
  <c r="L9" i="6"/>
  <c r="U24" i="6"/>
  <c r="U20" i="6"/>
  <c r="U16" i="6"/>
  <c r="U12" i="6"/>
  <c r="U8" i="6"/>
  <c r="U4" i="6"/>
  <c r="U23" i="6"/>
  <c r="U15" i="6"/>
  <c r="U11" i="6"/>
  <c r="U3" i="6"/>
  <c r="U19" i="6"/>
  <c r="U7" i="6"/>
  <c r="U22" i="6"/>
  <c r="U18" i="6"/>
  <c r="U14" i="6"/>
  <c r="U10" i="6"/>
  <c r="U6" i="6"/>
  <c r="U21" i="6"/>
  <c r="U17" i="6"/>
  <c r="U13" i="6"/>
  <c r="U9" i="6"/>
  <c r="U5" i="6"/>
  <c r="L9" i="7"/>
  <c r="U22" i="7"/>
  <c r="U18" i="7"/>
  <c r="U14" i="7"/>
  <c r="U10" i="7"/>
  <c r="U6" i="7"/>
  <c r="U19" i="7"/>
  <c r="U7" i="7"/>
  <c r="U21" i="7"/>
  <c r="U17" i="7"/>
  <c r="U13" i="7"/>
  <c r="U9" i="7"/>
  <c r="U5" i="7"/>
  <c r="U23" i="7"/>
  <c r="U11" i="7"/>
  <c r="U24" i="7"/>
  <c r="U20" i="7"/>
  <c r="U16" i="7"/>
  <c r="U12" i="7"/>
  <c r="U8" i="7"/>
  <c r="U4" i="7"/>
  <c r="U15" i="7"/>
  <c r="U3" i="7"/>
  <c r="L9" i="8"/>
  <c r="U24" i="8"/>
  <c r="U20" i="8"/>
  <c r="U16" i="8"/>
  <c r="U12" i="8"/>
  <c r="U8" i="8"/>
  <c r="U4" i="8"/>
  <c r="U23" i="8"/>
  <c r="U19" i="8"/>
  <c r="U15" i="8"/>
  <c r="U11" i="8"/>
  <c r="U7" i="8"/>
  <c r="U3" i="8"/>
  <c r="U22" i="8"/>
  <c r="U18" i="8"/>
  <c r="U14" i="8"/>
  <c r="U10" i="8"/>
  <c r="U6" i="8"/>
  <c r="U21" i="8"/>
  <c r="U17" i="8"/>
  <c r="U13" i="8"/>
  <c r="U9" i="8"/>
  <c r="U5" i="8"/>
  <c r="L9" i="9"/>
  <c r="U22" i="9"/>
  <c r="U18" i="9"/>
  <c r="U14" i="9"/>
  <c r="U10" i="9"/>
  <c r="U6" i="9"/>
  <c r="U17" i="9"/>
  <c r="U5" i="9"/>
  <c r="U21" i="9"/>
  <c r="U9" i="9"/>
  <c r="U24" i="9"/>
  <c r="U20" i="9"/>
  <c r="U16" i="9"/>
  <c r="U12" i="9"/>
  <c r="U8" i="9"/>
  <c r="U4" i="9"/>
  <c r="U23" i="9"/>
  <c r="U19" i="9"/>
  <c r="U15" i="9"/>
  <c r="U11" i="9"/>
  <c r="U7" i="9"/>
  <c r="U3" i="9"/>
  <c r="U13" i="9"/>
  <c r="L9" i="10"/>
  <c r="U24" i="10"/>
  <c r="U20" i="10"/>
  <c r="U16" i="10"/>
  <c r="U12" i="10"/>
  <c r="U8" i="10"/>
  <c r="U4" i="10"/>
  <c r="U23" i="10"/>
  <c r="U19" i="10"/>
  <c r="U15" i="10"/>
  <c r="U11" i="10"/>
  <c r="U7" i="10"/>
  <c r="U3" i="10"/>
  <c r="U22" i="10"/>
  <c r="U18" i="10"/>
  <c r="U14" i="10"/>
  <c r="U10" i="10"/>
  <c r="U6" i="10"/>
  <c r="U21" i="10"/>
  <c r="U17" i="10"/>
  <c r="U13" i="10"/>
  <c r="U9" i="10"/>
  <c r="U5" i="10"/>
  <c r="L9" i="11"/>
  <c r="U22" i="11"/>
  <c r="U18" i="11"/>
  <c r="U14" i="11"/>
  <c r="U10" i="11"/>
  <c r="U6" i="11"/>
  <c r="U19" i="11"/>
  <c r="U11" i="11"/>
  <c r="U21" i="11"/>
  <c r="U17" i="11"/>
  <c r="U13" i="11"/>
  <c r="U9" i="11"/>
  <c r="U5" i="11"/>
  <c r="U23" i="11"/>
  <c r="U15" i="11"/>
  <c r="U7" i="11"/>
  <c r="U24" i="11"/>
  <c r="U20" i="11"/>
  <c r="U16" i="11"/>
  <c r="U12" i="11"/>
  <c r="U8" i="11"/>
  <c r="U4" i="11"/>
  <c r="U3" i="11"/>
  <c r="J10" i="6"/>
  <c r="I10" i="9"/>
  <c r="J10" i="9"/>
  <c r="K10" i="7"/>
  <c r="I10" i="7"/>
  <c r="J10" i="11"/>
  <c r="I10" i="11"/>
  <c r="J10" i="4"/>
  <c r="I10" i="4"/>
  <c r="M9" i="5"/>
  <c r="I10" i="5" s="1"/>
  <c r="L9" i="5"/>
  <c r="AR24" i="4"/>
  <c r="AR7" i="4"/>
  <c r="AA10" i="4"/>
  <c r="AJ42" i="16" l="1"/>
  <c r="AJ41" i="16"/>
  <c r="AP41" i="16"/>
  <c r="AP42" i="16"/>
  <c r="K10" i="5"/>
  <c r="J10" i="5"/>
  <c r="AR8" i="4"/>
  <c r="AR26" i="4"/>
  <c r="AR17" i="4"/>
  <c r="AR16" i="4"/>
  <c r="AR15" i="4"/>
  <c r="AR3" i="4"/>
  <c r="AR20" i="4"/>
  <c r="AR14" i="4"/>
  <c r="AR13" i="4"/>
  <c r="AR28" i="4"/>
  <c r="AR22" i="4"/>
  <c r="AR29" i="4"/>
  <c r="AR11" i="4"/>
  <c r="AR10" i="4"/>
  <c r="AR9" i="4"/>
  <c r="AR27" i="4"/>
  <c r="AR18" i="4"/>
  <c r="AR25" i="4"/>
  <c r="AR12" i="4"/>
  <c r="AR6" i="4"/>
  <c r="AR4" i="4"/>
  <c r="AR5" i="4"/>
  <c r="AR19" i="4"/>
  <c r="AR23" i="4"/>
  <c r="AR30" i="4"/>
  <c r="AR21" i="4"/>
  <c r="X15" i="4"/>
  <c r="X16" i="4"/>
  <c r="AA59" i="4" l="1"/>
  <c r="AA57" i="4"/>
  <c r="AA55" i="4"/>
  <c r="AA53" i="4"/>
  <c r="AA60" i="4"/>
  <c r="AA58" i="4"/>
  <c r="AA56" i="4"/>
  <c r="AA54" i="4"/>
  <c r="Z60" i="4"/>
  <c r="Z54" i="4"/>
  <c r="Z59" i="4"/>
  <c r="Z57" i="4"/>
  <c r="Z55" i="4"/>
  <c r="Z53" i="4"/>
  <c r="Z56" i="4"/>
  <c r="Z58" i="4"/>
  <c r="C46" i="4"/>
  <c r="C53" i="4"/>
  <c r="C52" i="4"/>
  <c r="C51" i="4"/>
  <c r="C50" i="4"/>
  <c r="D48" i="4"/>
  <c r="D53" i="4"/>
  <c r="D52" i="4"/>
  <c r="D51" i="4"/>
  <c r="D50" i="4"/>
  <c r="Z51" i="4"/>
  <c r="Z47" i="4"/>
  <c r="C47" i="4"/>
  <c r="Z52" i="4"/>
  <c r="C48" i="4"/>
  <c r="Z46" i="4"/>
  <c r="Z49" i="4"/>
  <c r="C45" i="4"/>
  <c r="Z50" i="4"/>
  <c r="C49" i="4"/>
  <c r="Z48" i="4"/>
  <c r="Z45" i="4"/>
  <c r="AA52" i="4"/>
  <c r="D49" i="4"/>
  <c r="D45" i="4"/>
  <c r="AA48" i="4"/>
  <c r="AA45" i="4"/>
  <c r="AA49" i="4"/>
  <c r="D46" i="4"/>
  <c r="AA46" i="4"/>
  <c r="AA50" i="4"/>
  <c r="D47" i="4"/>
  <c r="AA47" i="4"/>
  <c r="AA51" i="4"/>
  <c r="AC58" i="4" l="1"/>
  <c r="AC53" i="4"/>
  <c r="AC54" i="4"/>
  <c r="AC59" i="4"/>
  <c r="AC57" i="4"/>
  <c r="AC45" i="4"/>
  <c r="AC52" i="4"/>
  <c r="AB56" i="4"/>
  <c r="AC56" i="4"/>
  <c r="AC48" i="4"/>
  <c r="AC49" i="4"/>
  <c r="AC51" i="4"/>
  <c r="AC46" i="4"/>
  <c r="AC47" i="4"/>
  <c r="AC55" i="4"/>
  <c r="AB60" i="4"/>
  <c r="AC60" i="4"/>
  <c r="AC50" i="4"/>
  <c r="AB58" i="4"/>
  <c r="AB57" i="4"/>
  <c r="AB53" i="4"/>
  <c r="AB45" i="4"/>
  <c r="AB52" i="4"/>
  <c r="AB59" i="4"/>
  <c r="AB54" i="4"/>
  <c r="AB48" i="4"/>
  <c r="AB49" i="4"/>
  <c r="AB51" i="4"/>
  <c r="AB47" i="4"/>
  <c r="AB55" i="4"/>
  <c r="AB50" i="4"/>
  <c r="AB46" i="4"/>
  <c r="F48" i="4"/>
  <c r="E50" i="4"/>
  <c r="F50" i="4"/>
  <c r="E51" i="4"/>
  <c r="F51" i="4"/>
  <c r="E52" i="4"/>
  <c r="F52" i="4"/>
  <c r="F46" i="4"/>
  <c r="F53" i="4"/>
  <c r="E53" i="4"/>
  <c r="E47" i="4"/>
  <c r="F49" i="4"/>
  <c r="F45" i="4"/>
  <c r="E48" i="4"/>
  <c r="E49" i="4"/>
  <c r="E45" i="4"/>
  <c r="F47" i="4"/>
  <c r="E46" i="4"/>
  <c r="X18" i="4" l="1"/>
  <c r="X14" i="16" l="1"/>
  <c r="D46" i="16" s="1"/>
  <c r="X13" i="16"/>
  <c r="Z50" i="16" s="1"/>
  <c r="AD46" i="4"/>
  <c r="AD50" i="4"/>
  <c r="AD54" i="4"/>
  <c r="AD58" i="4"/>
  <c r="AD47" i="4"/>
  <c r="AD51" i="4"/>
  <c r="AD59" i="4"/>
  <c r="AD45" i="4"/>
  <c r="AD49" i="4"/>
  <c r="AD53" i="4"/>
  <c r="AD57" i="4"/>
  <c r="AD55" i="4"/>
  <c r="AD48" i="4"/>
  <c r="AD52" i="4"/>
  <c r="AD56" i="4"/>
  <c r="AD60" i="4"/>
  <c r="X19" i="4"/>
  <c r="AA60" i="16" l="1"/>
  <c r="AA65" i="16"/>
  <c r="AA53" i="16"/>
  <c r="AA46" i="16"/>
  <c r="D47" i="16"/>
  <c r="AA47" i="16"/>
  <c r="AA54" i="16"/>
  <c r="AA70" i="16"/>
  <c r="D45" i="16"/>
  <c r="AA58" i="16"/>
  <c r="AA52" i="16"/>
  <c r="AA63" i="16"/>
  <c r="D48" i="16"/>
  <c r="AA66" i="16"/>
  <c r="AA59" i="16"/>
  <c r="C46" i="16"/>
  <c r="E46" i="16" s="1"/>
  <c r="AA69" i="16"/>
  <c r="AA49" i="16"/>
  <c r="AA64" i="16"/>
  <c r="AA50" i="16"/>
  <c r="AB50" i="16" s="1"/>
  <c r="AA51" i="16"/>
  <c r="AA62" i="16"/>
  <c r="AA61" i="16"/>
  <c r="AA57" i="16"/>
  <c r="AA67" i="16"/>
  <c r="AA71" i="16"/>
  <c r="D49" i="16"/>
  <c r="AA68" i="16"/>
  <c r="AA45" i="16"/>
  <c r="AA48" i="16"/>
  <c r="Z45" i="16"/>
  <c r="Z48" i="16"/>
  <c r="Z69" i="16"/>
  <c r="C48" i="16"/>
  <c r="C45" i="16"/>
  <c r="Z67" i="16"/>
  <c r="Z66" i="16"/>
  <c r="Z54" i="16"/>
  <c r="AA55" i="16"/>
  <c r="AA72" i="16"/>
  <c r="AA56" i="16"/>
  <c r="Z52" i="16"/>
  <c r="Z56" i="16"/>
  <c r="Z53" i="16"/>
  <c r="Z62" i="16"/>
  <c r="Z61" i="16"/>
  <c r="Z72" i="16"/>
  <c r="Z65" i="16"/>
  <c r="Z63" i="16"/>
  <c r="Z64" i="16"/>
  <c r="Z49" i="16"/>
  <c r="Z47" i="16"/>
  <c r="Z55" i="16"/>
  <c r="C47" i="16"/>
  <c r="Z57" i="16"/>
  <c r="Z60" i="16"/>
  <c r="C49" i="16"/>
  <c r="Z58" i="16"/>
  <c r="Z71" i="16"/>
  <c r="Z70" i="16"/>
  <c r="Z59" i="16"/>
  <c r="Z46" i="16"/>
  <c r="Z68" i="16"/>
  <c r="Z51" i="16"/>
  <c r="AA1" i="4"/>
  <c r="AB69" i="16" l="1"/>
  <c r="AB66" i="16"/>
  <c r="AC60" i="16"/>
  <c r="AC48" i="16"/>
  <c r="AB47" i="16"/>
  <c r="AC65" i="16"/>
  <c r="AC58" i="16"/>
  <c r="AB49" i="16"/>
  <c r="AC54" i="16"/>
  <c r="AC53" i="16"/>
  <c r="AB53" i="16"/>
  <c r="AB46" i="16"/>
  <c r="F47" i="16"/>
  <c r="AB64" i="16"/>
  <c r="AB61" i="16"/>
  <c r="AB52" i="16"/>
  <c r="AC50" i="16"/>
  <c r="E45" i="16"/>
  <c r="F46" i="16"/>
  <c r="AB63" i="16"/>
  <c r="AB51" i="16"/>
  <c r="F49" i="16"/>
  <c r="AC69" i="16"/>
  <c r="AC45" i="16"/>
  <c r="AC71" i="16"/>
  <c r="AB48" i="16"/>
  <c r="AB45" i="16"/>
  <c r="E48" i="16"/>
  <c r="F48" i="16"/>
  <c r="AB54" i="16"/>
  <c r="AB68" i="16"/>
  <c r="AB57" i="16"/>
  <c r="AB67" i="16"/>
  <c r="AC61" i="16"/>
  <c r="AC66" i="16"/>
  <c r="AC46" i="16"/>
  <c r="AC67" i="16"/>
  <c r="F45" i="16"/>
  <c r="AC63" i="16"/>
  <c r="AC47" i="16"/>
  <c r="AB60" i="16"/>
  <c r="AC49" i="16"/>
  <c r="AC64" i="16"/>
  <c r="E49" i="16"/>
  <c r="AC52" i="16"/>
  <c r="AB65" i="16"/>
  <c r="AB71" i="16"/>
  <c r="AC57" i="16"/>
  <c r="AC56" i="16"/>
  <c r="AB56" i="16"/>
  <c r="AC62" i="16"/>
  <c r="AB62" i="16"/>
  <c r="AC72" i="16"/>
  <c r="AB72" i="16"/>
  <c r="E47" i="16"/>
  <c r="AC68" i="16"/>
  <c r="AC51" i="16"/>
  <c r="AB55" i="16"/>
  <c r="AC55" i="16"/>
  <c r="AB58" i="16"/>
  <c r="AB59" i="16"/>
  <c r="AC59" i="16"/>
  <c r="AC70" i="16"/>
  <c r="AB70" i="16"/>
  <c r="AA2" i="4"/>
  <c r="AA3" i="4"/>
  <c r="AD24" i="8"/>
  <c r="AJ11" i="9"/>
  <c r="AD16" i="10"/>
  <c r="AD21" i="5"/>
  <c r="AJ9" i="6"/>
  <c r="AJ11" i="8"/>
  <c r="AA22" i="16"/>
  <c r="AA37" i="16"/>
  <c r="AJ24" i="7"/>
  <c r="AJ8" i="6"/>
  <c r="AJ31" i="9"/>
  <c r="AJ23" i="8"/>
  <c r="AJ30" i="5"/>
  <c r="AJ20" i="6"/>
  <c r="AJ29" i="11"/>
  <c r="AA4" i="16"/>
  <c r="AK11" i="8" a="1"/>
  <c r="AJ11" i="5"/>
  <c r="AD9" i="6"/>
  <c r="AI41" i="11"/>
  <c r="AD3" i="8"/>
  <c r="AD13" i="11" a="1"/>
  <c r="AJ36" i="8"/>
  <c r="AJ29" i="5"/>
  <c r="AA15" i="16"/>
  <c r="AI41" i="7"/>
  <c r="AD13" i="8"/>
  <c r="AD21" i="7"/>
  <c r="AJ19" i="6"/>
  <c r="W45" i="10" a="1"/>
  <c r="AD23" i="10"/>
  <c r="AJ23" i="7"/>
  <c r="AD24" i="10"/>
  <c r="AA18" i="16"/>
  <c r="AJ24" i="9"/>
  <c r="A45" i="10" a="1"/>
  <c r="AD26" i="11" a="1"/>
  <c r="AJ39" i="8"/>
  <c r="AE24" i="8" a="1"/>
  <c r="AJ6" i="8"/>
  <c r="AJ34" i="6"/>
  <c r="AJ36" i="7"/>
  <c r="AD16" i="6"/>
  <c r="AD38" i="10"/>
  <c r="AJ30" i="7"/>
  <c r="AJ4" i="11"/>
  <c r="AJ28" i="5"/>
  <c r="AJ22" i="8"/>
  <c r="AJ29" i="10"/>
  <c r="A45" i="7" a="1"/>
  <c r="AO3" i="9" a="1"/>
  <c r="AJ6" i="7"/>
  <c r="AD14" i="6"/>
  <c r="AJ21" i="6"/>
  <c r="AO3" i="8" a="1"/>
  <c r="AJ26" i="8"/>
  <c r="AC41" i="10"/>
  <c r="AD27" i="9"/>
  <c r="AD33" i="8"/>
  <c r="AD34" i="7"/>
  <c r="AJ9" i="10"/>
  <c r="AJ32" i="7"/>
  <c r="AJ12" i="5"/>
  <c r="AJ3" i="9"/>
  <c r="AJ13" i="7"/>
  <c r="AA38" i="16"/>
  <c r="AD5" i="7"/>
  <c r="AD35" i="5"/>
  <c r="AJ32" i="6"/>
  <c r="AD27" i="8"/>
  <c r="AJ12" i="8"/>
  <c r="AD4" i="11" a="1"/>
  <c r="AD37" i="6"/>
  <c r="AD34" i="10"/>
  <c r="W45" i="8" a="1"/>
  <c r="AD35" i="7"/>
  <c r="AD14" i="10"/>
  <c r="AD18" i="6"/>
  <c r="AA21" i="16"/>
  <c r="AD36" i="9"/>
  <c r="A45" i="8" a="1"/>
  <c r="AJ20" i="9"/>
  <c r="AI42" i="5"/>
  <c r="AJ26" i="10"/>
  <c r="AJ3" i="7"/>
  <c r="AO17" i="7" a="1"/>
  <c r="AA36" i="16"/>
  <c r="AD24" i="5"/>
  <c r="AK31" i="9" a="1"/>
  <c r="AD27" i="7"/>
  <c r="AJ18" i="11"/>
  <c r="AJ39" i="6"/>
  <c r="AJ24" i="8"/>
  <c r="AD15" i="9"/>
  <c r="AJ10" i="8"/>
  <c r="AD16" i="8"/>
  <c r="AJ7" i="6"/>
  <c r="AD39" i="9"/>
  <c r="AD3" i="11" a="1"/>
  <c r="AD26" i="10"/>
  <c r="AJ39" i="5"/>
  <c r="AC42" i="11"/>
  <c r="AJ23" i="6"/>
  <c r="AC42" i="8"/>
  <c r="AJ27" i="8"/>
  <c r="AD21" i="6"/>
  <c r="AD7" i="11" a="1"/>
  <c r="AD14" i="5"/>
  <c r="AJ12" i="11"/>
  <c r="AD32" i="11" a="1"/>
  <c r="AD10" i="6"/>
  <c r="AD32" i="9"/>
  <c r="AD11" i="11" a="1"/>
  <c r="AD32" i="7"/>
  <c r="AD30" i="7"/>
  <c r="AA19" i="16"/>
  <c r="AA10" i="16"/>
  <c r="AD36" i="6"/>
  <c r="AJ12" i="6"/>
  <c r="W45" i="9" a="1"/>
  <c r="AJ38" i="11"/>
  <c r="AD34" i="9"/>
  <c r="AA24" i="16"/>
  <c r="AC41" i="6"/>
  <c r="AI41" i="5"/>
  <c r="AA16" i="16"/>
  <c r="AB22" i="16" a="1"/>
  <c r="AJ38" i="7"/>
  <c r="AD25" i="5"/>
  <c r="AJ6" i="5"/>
  <c r="AD20" i="7"/>
  <c r="AE20" i="7" s="1" a="1"/>
  <c r="AI42" i="8"/>
  <c r="AJ42" i="8" s="1" a="1"/>
  <c r="AJ31" i="11"/>
  <c r="AD18" i="10"/>
  <c r="AC41" i="5"/>
  <c r="AO17" i="11" a="1"/>
  <c r="AJ22" i="10"/>
  <c r="AJ27" i="9"/>
  <c r="AD26" i="5"/>
  <c r="AD4" i="9"/>
  <c r="AD37" i="9"/>
  <c r="AD24" i="9"/>
  <c r="AJ12" i="9"/>
  <c r="AD8" i="11" a="1"/>
  <c r="AD35" i="6"/>
  <c r="AJ4" i="5"/>
  <c r="AJ39" i="7"/>
  <c r="AI42" i="7"/>
  <c r="AK29" i="11" a="1"/>
  <c r="AJ38" i="10"/>
  <c r="AJ7" i="9"/>
  <c r="AA8" i="16"/>
  <c r="AJ4" i="10"/>
  <c r="AJ16" i="6"/>
  <c r="AI41" i="8"/>
  <c r="AJ14" i="6"/>
  <c r="AJ28" i="9"/>
  <c r="AD15" i="10"/>
  <c r="AD10" i="7"/>
  <c r="AD29" i="6"/>
  <c r="AJ16" i="9"/>
  <c r="AC41" i="11"/>
  <c r="AC41" i="8"/>
  <c r="AK6" i="8" a="1"/>
  <c r="AD3" i="6"/>
  <c r="AD29" i="10"/>
  <c r="AD34" i="5"/>
  <c r="AJ35" i="10"/>
  <c r="AJ35" i="6"/>
  <c r="AJ4" i="7"/>
  <c r="AD37" i="5"/>
  <c r="AJ34" i="8"/>
  <c r="AD27" i="10"/>
  <c r="AD38" i="11" a="1"/>
  <c r="AD14" i="11" a="1"/>
  <c r="AJ6" i="11"/>
  <c r="AJ4" i="8"/>
  <c r="AJ13" i="6"/>
  <c r="AK22" i="8" a="1"/>
  <c r="AA32" i="16"/>
  <c r="AJ11" i="6"/>
  <c r="AD31" i="9"/>
  <c r="AD12" i="5"/>
  <c r="AJ10" i="7"/>
  <c r="AD23" i="9"/>
  <c r="AJ37" i="11"/>
  <c r="AD7" i="6"/>
  <c r="AJ37" i="9"/>
  <c r="AK37" i="9" s="1" a="1"/>
  <c r="AJ9" i="11"/>
  <c r="AD5" i="10"/>
  <c r="AJ13" i="9"/>
  <c r="AD4" i="7"/>
  <c r="AE4" i="7" s="1" a="1"/>
  <c r="AD19" i="6"/>
  <c r="AD25" i="11" a="1"/>
  <c r="AJ18" i="6"/>
  <c r="AK18" i="6" s="1" a="1"/>
  <c r="AJ32" i="5"/>
  <c r="AJ9" i="8"/>
  <c r="AJ17" i="7"/>
  <c r="AJ14" i="9"/>
  <c r="AO3" i="5" a="1"/>
  <c r="AD19" i="8"/>
  <c r="AJ22" i="9"/>
  <c r="AA29" i="16"/>
  <c r="AA14" i="16"/>
  <c r="AD8" i="8"/>
  <c r="AJ9" i="9"/>
  <c r="AJ25" i="11"/>
  <c r="AD10" i="11" a="1"/>
  <c r="AD17" i="7"/>
  <c r="AD6" i="10"/>
  <c r="AD3" i="10"/>
  <c r="AE3" i="10" s="1" a="1"/>
  <c r="AJ18" i="10"/>
  <c r="AD13" i="7"/>
  <c r="AJ31" i="10"/>
  <c r="AD23" i="7"/>
  <c r="AD32" i="8"/>
  <c r="AJ28" i="6"/>
  <c r="AD22" i="6"/>
  <c r="AE22" i="6" s="1" a="1"/>
  <c r="AD33" i="10"/>
  <c r="AJ21" i="11"/>
  <c r="AD8" i="9"/>
  <c r="AD16" i="5"/>
  <c r="AD19" i="9"/>
  <c r="AJ20" i="11"/>
  <c r="AJ16" i="10"/>
  <c r="AC42" i="9"/>
  <c r="AD42" i="9" s="1" a="1"/>
  <c r="AD34" i="8"/>
  <c r="AI41" i="6"/>
  <c r="AD27" i="6"/>
  <c r="AD15" i="11" a="1"/>
  <c r="AD10" i="10"/>
  <c r="AE10" i="10" s="1" a="1"/>
  <c r="AJ36" i="11"/>
  <c r="AD15" i="6"/>
  <c r="AJ38" i="6"/>
  <c r="AJ5" i="8"/>
  <c r="AK5" i="8" s="1" a="1"/>
  <c r="AJ26" i="7"/>
  <c r="AK26" i="7" s="1" a="1"/>
  <c r="AD3" i="7"/>
  <c r="AD35" i="8"/>
  <c r="AJ27" i="5"/>
  <c r="AD18" i="5"/>
  <c r="Z42" i="16"/>
  <c r="AJ32" i="10"/>
  <c r="AK32" i="10" s="1" a="1"/>
  <c r="AJ13" i="8"/>
  <c r="AJ17" i="5"/>
  <c r="A45" i="6" a="1"/>
  <c r="AC42" i="10"/>
  <c r="AJ39" i="11"/>
  <c r="AJ20" i="5"/>
  <c r="AK26" i="10" a="1"/>
  <c r="AC42" i="6"/>
  <c r="AJ15" i="11"/>
  <c r="AJ8" i="7"/>
  <c r="AD9" i="8"/>
  <c r="AD24" i="11" a="1"/>
  <c r="AD4" i="6"/>
  <c r="AJ20" i="8"/>
  <c r="AA34" i="16"/>
  <c r="AB34" i="16" s="1" a="1"/>
  <c r="AD9" i="10"/>
  <c r="AO3" i="7" a="1"/>
  <c r="AD23" i="5"/>
  <c r="AE34" i="9" a="1"/>
  <c r="AJ34" i="9"/>
  <c r="AK34" i="9" s="1" a="1"/>
  <c r="AJ35" i="8"/>
  <c r="AI41" i="9"/>
  <c r="AD26" i="7"/>
  <c r="AJ22" i="6"/>
  <c r="AD8" i="6"/>
  <c r="AD28" i="9"/>
  <c r="AE28" i="9" s="1" a="1"/>
  <c r="AA28" i="16"/>
  <c r="AB28" i="16" s="1" a="1"/>
  <c r="AJ17" i="11"/>
  <c r="AJ25" i="6"/>
  <c r="AD21" i="8"/>
  <c r="AE21" i="8" s="1" a="1"/>
  <c r="AD17" i="8"/>
  <c r="AJ14" i="10"/>
  <c r="AD21" i="11" a="1"/>
  <c r="AJ16" i="5"/>
  <c r="AJ33" i="9"/>
  <c r="AJ30" i="11"/>
  <c r="AD14" i="9"/>
  <c r="AJ20" i="7"/>
  <c r="W45" i="5" a="1"/>
  <c r="AJ36" i="6"/>
  <c r="AJ23" i="11"/>
  <c r="AJ5" i="9"/>
  <c r="AD38" i="9"/>
  <c r="AA13" i="16"/>
  <c r="AK27" i="5" a="1"/>
  <c r="AA26" i="16"/>
  <c r="AD31" i="7"/>
  <c r="AD35" i="9"/>
  <c r="AD7" i="8"/>
  <c r="AJ23" i="5"/>
  <c r="AJ24" i="6"/>
  <c r="AJ29" i="9"/>
  <c r="AI42" i="10"/>
  <c r="AD18" i="11" a="1"/>
  <c r="AJ13" i="10"/>
  <c r="AD9" i="5"/>
  <c r="AJ17" i="6"/>
  <c r="AD38" i="8"/>
  <c r="AD3" i="9"/>
  <c r="AK8" i="7" a="1"/>
  <c r="AJ38" i="5"/>
  <c r="AJ6" i="6"/>
  <c r="AK26" i="8" a="1"/>
  <c r="AD31" i="8"/>
  <c r="AJ17" i="8"/>
  <c r="AD11" i="6"/>
  <c r="AA12" i="16"/>
  <c r="AD12" i="11" a="1"/>
  <c r="AE23" i="7" a="1"/>
  <c r="AD24" i="6"/>
  <c r="AC41" i="9"/>
  <c r="AJ21" i="9"/>
  <c r="AJ24" i="5"/>
  <c r="AJ15" i="9"/>
  <c r="AJ30" i="8"/>
  <c r="AJ8" i="10"/>
  <c r="AK22" i="10" a="1"/>
  <c r="AJ38" i="8"/>
  <c r="AD37" i="10"/>
  <c r="AJ27" i="6"/>
  <c r="AJ27" i="10"/>
  <c r="AA33" i="16"/>
  <c r="AB33" i="16" s="1" a="1"/>
  <c r="AC41" i="7"/>
  <c r="AD28" i="8"/>
  <c r="AO17" i="6" a="1"/>
  <c r="AJ30" i="9"/>
  <c r="AK30" i="9" s="1" a="1"/>
  <c r="AO17" i="9" a="1"/>
  <c r="AD35" i="10"/>
  <c r="AJ33" i="7"/>
  <c r="AJ22" i="5"/>
  <c r="AJ17" i="9"/>
  <c r="AD25" i="10"/>
  <c r="AA3" i="16"/>
  <c r="AJ25" i="8"/>
  <c r="AJ10" i="6"/>
  <c r="AJ8" i="11"/>
  <c r="AD7" i="10"/>
  <c r="AJ24" i="11"/>
  <c r="AJ25" i="7"/>
  <c r="AD12" i="6"/>
  <c r="AD33" i="9"/>
  <c r="AA7" i="16"/>
  <c r="AJ12" i="7"/>
  <c r="AK4" i="7" a="1"/>
  <c r="AJ26" i="5"/>
  <c r="AJ22" i="7"/>
  <c r="AD18" i="8"/>
  <c r="AD19" i="11" a="1"/>
  <c r="AD7" i="5"/>
  <c r="AE7" i="5" s="1" a="1"/>
  <c r="AD25" i="8"/>
  <c r="AJ20" i="10"/>
  <c r="AD20" i="11" a="1"/>
  <c r="AD12" i="8"/>
  <c r="AD8" i="10"/>
  <c r="AE8" i="10" s="1" a="1"/>
  <c r="AD29" i="5"/>
  <c r="AD19" i="5"/>
  <c r="W45" i="7" a="1"/>
  <c r="AJ9" i="5"/>
  <c r="AJ3" i="8"/>
  <c r="AJ26" i="11"/>
  <c r="AD38" i="6"/>
  <c r="AE18" i="8" a="1"/>
  <c r="AJ6" i="10"/>
  <c r="AD33" i="11" a="1"/>
  <c r="AE36" i="9" a="1"/>
  <c r="AJ9" i="7"/>
  <c r="AJ34" i="10"/>
  <c r="AD30" i="9"/>
  <c r="AE30" i="9" s="1" a="1"/>
  <c r="AD13" i="9"/>
  <c r="AA30" i="16"/>
  <c r="AD38" i="5"/>
  <c r="AJ5" i="6"/>
  <c r="AK5" i="6" s="1" a="1"/>
  <c r="AD6" i="11" a="1"/>
  <c r="AJ3" i="11"/>
  <c r="AE30" i="7" a="1"/>
  <c r="AJ28" i="10"/>
  <c r="AD36" i="5"/>
  <c r="AD22" i="7"/>
  <c r="AE22" i="7" s="1" a="1"/>
  <c r="AD31" i="11" a="1"/>
  <c r="AJ10" i="11"/>
  <c r="AD29" i="9"/>
  <c r="AE29" i="9" s="1" a="1"/>
  <c r="AJ33" i="8"/>
  <c r="AD13" i="6"/>
  <c r="AJ22" i="11"/>
  <c r="AA17" i="16"/>
  <c r="AD32" i="10"/>
  <c r="AD17" i="11" a="1"/>
  <c r="AJ25" i="10"/>
  <c r="AJ29" i="6"/>
  <c r="AJ33" i="5"/>
  <c r="AJ15" i="7"/>
  <c r="AJ5" i="10"/>
  <c r="AD7" i="9"/>
  <c r="AE17" i="8" a="1"/>
  <c r="AK22" i="5" a="1"/>
  <c r="AA9" i="16"/>
  <c r="AJ18" i="8"/>
  <c r="AK9" i="11" a="1"/>
  <c r="AJ38" i="9"/>
  <c r="AD15" i="5"/>
  <c r="AD28" i="11" a="1"/>
  <c r="AD24" i="7"/>
  <c r="AA35" i="16"/>
  <c r="AJ15" i="10"/>
  <c r="AD6" i="8"/>
  <c r="AJ39" i="10"/>
  <c r="AJ31" i="7"/>
  <c r="AJ12" i="10"/>
  <c r="AD6" i="9"/>
  <c r="AJ3" i="5"/>
  <c r="AD32" i="6"/>
  <c r="AE32" i="6" s="1" a="1"/>
  <c r="AD6" i="6"/>
  <c r="AJ28" i="8"/>
  <c r="AK28" i="8" s="1" a="1"/>
  <c r="AJ25" i="9"/>
  <c r="AJ21" i="7"/>
  <c r="AK38" i="10" a="1"/>
  <c r="AO17" i="5" a="1"/>
  <c r="AJ8" i="9"/>
  <c r="AA31" i="16"/>
  <c r="AK27" i="10" a="1"/>
  <c r="AK8" i="11" a="1"/>
  <c r="AD19" i="7"/>
  <c r="AK10" i="11" a="1"/>
  <c r="AD20" i="5"/>
  <c r="AI42" i="6"/>
  <c r="AK21" i="11" a="1"/>
  <c r="AD33" i="5"/>
  <c r="AD12" i="7"/>
  <c r="AJ7" i="8"/>
  <c r="AJ10" i="10"/>
  <c r="AK35" i="6" a="1"/>
  <c r="AD9" i="7"/>
  <c r="AJ16" i="8"/>
  <c r="AJ13" i="11"/>
  <c r="AD28" i="5"/>
  <c r="AJ23" i="10"/>
  <c r="AD21" i="9"/>
  <c r="AD41" i="6" a="1"/>
  <c r="AI42" i="9"/>
  <c r="AJ42" i="9" s="1" a="1"/>
  <c r="AD36" i="10"/>
  <c r="AD22" i="9"/>
  <c r="AJ25" i="5"/>
  <c r="I4" i="4" a="1"/>
  <c r="AJ19" i="10"/>
  <c r="AK19" i="10" s="1" a="1"/>
  <c r="AJ6" i="9"/>
  <c r="AO17" i="10" a="1"/>
  <c r="AD38" i="7"/>
  <c r="AJ18" i="5"/>
  <c r="AD11" i="5"/>
  <c r="AJ4" i="9"/>
  <c r="AK4" i="9" s="1" a="1"/>
  <c r="AD5" i="8"/>
  <c r="AD33" i="7"/>
  <c r="AD29" i="11" a="1"/>
  <c r="AJ15" i="6"/>
  <c r="AK15" i="6" s="1" a="1"/>
  <c r="AD30" i="5"/>
  <c r="AD36" i="11" a="1"/>
  <c r="AJ39" i="9"/>
  <c r="AB37" i="16" a="1"/>
  <c r="AJ7" i="5"/>
  <c r="AD25" i="6"/>
  <c r="AD7" i="7"/>
  <c r="AE7" i="7" s="1" a="1"/>
  <c r="AD16" i="9"/>
  <c r="AJ27" i="11"/>
  <c r="AA5" i="16"/>
  <c r="AD27" i="5"/>
  <c r="AD30" i="11" a="1"/>
  <c r="AD14" i="7"/>
  <c r="AJ32" i="8"/>
  <c r="AJ11" i="7"/>
  <c r="AJ36" i="5"/>
  <c r="AJ14" i="5"/>
  <c r="AD5" i="11" a="1"/>
  <c r="AD29" i="7"/>
  <c r="AE36" i="10" a="1"/>
  <c r="AD30" i="10"/>
  <c r="AJ13" i="5"/>
  <c r="AJ30" i="10"/>
  <c r="AJ21" i="8"/>
  <c r="AJ34" i="5"/>
  <c r="AJ37" i="6"/>
  <c r="AD37" i="7"/>
  <c r="AJ33" i="11"/>
  <c r="AE29" i="7" a="1"/>
  <c r="AJ8" i="8"/>
  <c r="AJ21" i="10"/>
  <c r="AJ21" i="5"/>
  <c r="AD30" i="8"/>
  <c r="AJ35" i="11"/>
  <c r="AD20" i="9"/>
  <c r="AJ31" i="8"/>
  <c r="AD10" i="9"/>
  <c r="AE16" i="9" a="1"/>
  <c r="AJ31" i="5"/>
  <c r="AK34" i="6" a="1"/>
  <c r="W45" i="6" a="1"/>
  <c r="AD19" i="10"/>
  <c r="AE19" i="10" s="1" a="1"/>
  <c r="AD17" i="9"/>
  <c r="AE17" i="9" s="1" a="1"/>
  <c r="AD33" i="6"/>
  <c r="AJ19" i="9"/>
  <c r="AA11" i="16"/>
  <c r="AJ10" i="5"/>
  <c r="AJ18" i="7"/>
  <c r="AK18" i="7" s="1" a="1"/>
  <c r="AK33" i="9" a="1"/>
  <c r="AD20" i="6"/>
  <c r="AK11" i="9" a="1"/>
  <c r="AJ15" i="8"/>
  <c r="AD34" i="6"/>
  <c r="AI42" i="11"/>
  <c r="AD4" i="8"/>
  <c r="AJ14" i="8"/>
  <c r="AJ17" i="10"/>
  <c r="AK17" i="10" s="1" a="1"/>
  <c r="AJ33" i="10"/>
  <c r="AK33" i="10" s="1" a="1"/>
  <c r="AD34" i="11" a="1"/>
  <c r="AD8" i="5"/>
  <c r="AJ26" i="6"/>
  <c r="AK26" i="6" s="1" a="1"/>
  <c r="AD26" i="8"/>
  <c r="AJ7" i="11"/>
  <c r="AK7" i="11" s="1" a="1"/>
  <c r="AJ5" i="11"/>
  <c r="AA25" i="16"/>
  <c r="AK18" i="5" a="1"/>
  <c r="AJ33" i="6"/>
  <c r="AD18" i="9"/>
  <c r="AE18" i="9" s="1" a="1"/>
  <c r="AD5" i="9"/>
  <c r="AE5" i="9" s="1" a="1"/>
  <c r="AD15" i="8"/>
  <c r="AD10" i="5"/>
  <c r="AO3" i="6" a="1"/>
  <c r="AJ30" i="6"/>
  <c r="AJ29" i="8"/>
  <c r="AD13" i="10"/>
  <c r="AJ34" i="11"/>
  <c r="AK34" i="11" s="1" a="1"/>
  <c r="AJ37" i="5"/>
  <c r="AJ3" i="6"/>
  <c r="AO17" i="8" a="1"/>
  <c r="AD26" i="9"/>
  <c r="AJ35" i="7"/>
  <c r="AJ16" i="7"/>
  <c r="AD15" i="7"/>
  <c r="AD5" i="6"/>
  <c r="AD26" i="6"/>
  <c r="AD8" i="7"/>
  <c r="AJ14" i="11"/>
  <c r="AD22" i="10"/>
  <c r="AD22" i="5"/>
  <c r="AK38" i="6" a="1"/>
  <c r="AE24" i="9" a="1"/>
  <c r="AD28" i="7"/>
  <c r="AK13" i="7" a="1"/>
  <c r="AD20" i="10"/>
  <c r="AE20" i="10" s="1" a="1"/>
  <c r="AJ16" i="11"/>
  <c r="AK16" i="11" s="1" a="1"/>
  <c r="AJ19" i="11"/>
  <c r="AJ32" i="9"/>
  <c r="AJ29" i="7"/>
  <c r="AE33" i="10" a="1"/>
  <c r="AD4" i="5"/>
  <c r="AE26" i="9" a="1"/>
  <c r="AD11" i="9"/>
  <c r="AK30" i="10" a="1"/>
  <c r="AD23" i="11" a="1"/>
  <c r="AJ19" i="7"/>
  <c r="AD31" i="5"/>
  <c r="AE31" i="5" s="1" a="1"/>
  <c r="AJ10" i="9"/>
  <c r="AD36" i="7"/>
  <c r="AD11" i="8"/>
  <c r="W45" i="11" a="1"/>
  <c r="AJ3" i="10"/>
  <c r="AJ11" i="11"/>
  <c r="A45" i="5" a="1"/>
  <c r="AD17" i="10"/>
  <c r="AD21" i="10"/>
  <c r="AJ5" i="7"/>
  <c r="AK5" i="7" s="1" a="1"/>
  <c r="AD23" i="6"/>
  <c r="Z41" i="16"/>
  <c r="AA41" i="16" s="1" a="1"/>
  <c r="AJ26" i="9"/>
  <c r="AK26" i="9" s="1" a="1"/>
  <c r="AD17" i="6"/>
  <c r="AD16" i="7"/>
  <c r="AD28" i="10"/>
  <c r="AE28" i="10" s="1" a="1"/>
  <c r="AJ7" i="7"/>
  <c r="AD6" i="7"/>
  <c r="AJ28" i="11"/>
  <c r="AA6" i="16"/>
  <c r="AD27" i="11" a="1"/>
  <c r="AE34" i="10" a="1"/>
  <c r="AJ36" i="9"/>
  <c r="AD35" i="11" a="1"/>
  <c r="AD37" i="8"/>
  <c r="AK31" i="10" a="1"/>
  <c r="AJ7" i="10"/>
  <c r="AJ15" i="5"/>
  <c r="AD28" i="6"/>
  <c r="AD6" i="5"/>
  <c r="AJ14" i="7"/>
  <c r="AK14" i="7" s="1" a="1"/>
  <c r="AD14" i="8"/>
  <c r="AE14" i="8" s="1" a="1"/>
  <c r="AJ37" i="7"/>
  <c r="AK37" i="7" s="1" a="1"/>
  <c r="AJ4" i="6"/>
  <c r="AE37" i="8" a="1"/>
  <c r="AA23" i="16"/>
  <c r="AB23" i="16" s="1" a="1"/>
  <c r="AB16" i="16" a="1"/>
  <c r="AE5" i="10" a="1"/>
  <c r="AD5" i="5"/>
  <c r="AD31" i="6"/>
  <c r="AD36" i="8"/>
  <c r="AE36" i="8" s="1" a="1"/>
  <c r="AJ18" i="9"/>
  <c r="AK18" i="9" s="1" a="1"/>
  <c r="AJ27" i="7"/>
  <c r="AJ24" i="10"/>
  <c r="AJ35" i="5"/>
  <c r="AD30" i="6"/>
  <c r="AO3" i="10" a="1"/>
  <c r="AK20" i="8" a="1"/>
  <c r="AD23" i="8"/>
  <c r="AJ19" i="8"/>
  <c r="AJ34" i="7"/>
  <c r="AJ31" i="6"/>
  <c r="AD22" i="8"/>
  <c r="AJ35" i="9"/>
  <c r="AK35" i="9" s="1" a="1"/>
  <c r="A45" i="11" a="1"/>
  <c r="AD25" i="7"/>
  <c r="AJ8" i="5"/>
  <c r="AD29" i="8"/>
  <c r="AD17" i="5"/>
  <c r="AJ23" i="9"/>
  <c r="AD22" i="11" a="1"/>
  <c r="AJ37" i="8"/>
  <c r="AE13" i="9" a="1"/>
  <c r="AD9" i="11" a="1"/>
  <c r="AD12" i="10"/>
  <c r="AD12" i="9"/>
  <c r="AO3" i="11" a="1"/>
  <c r="AJ19" i="5"/>
  <c r="AC42" i="7"/>
  <c r="AD37" i="11" a="1"/>
  <c r="AA20" i="16"/>
  <c r="AD18" i="7"/>
  <c r="AA27" i="16"/>
  <c r="AD20" i="8"/>
  <c r="AD32" i="5"/>
  <c r="AJ37" i="10"/>
  <c r="AE31" i="9" a="1"/>
  <c r="AD9" i="9"/>
  <c r="AD31" i="10"/>
  <c r="AK30" i="8" a="1"/>
  <c r="AD4" i="10"/>
  <c r="AE19" i="5" a="1"/>
  <c r="AI41" i="10"/>
  <c r="AJ32" i="11"/>
  <c r="A45" i="9" a="1"/>
  <c r="AD11" i="10"/>
  <c r="AE11" i="10" s="1" a="1"/>
  <c r="AD25" i="9"/>
  <c r="AD3" i="5"/>
  <c r="AD16" i="11" a="1"/>
  <c r="AD11" i="7"/>
  <c r="AE11" i="7" s="1" a="1"/>
  <c r="AJ11" i="10"/>
  <c r="AD13" i="5"/>
  <c r="AD10" i="8"/>
  <c r="AE32" i="10" a="1"/>
  <c r="AJ28" i="7"/>
  <c r="AJ5" i="5"/>
  <c r="AJ36" i="10"/>
  <c r="AC42" i="5"/>
  <c r="B49" i="6" l="1"/>
  <c r="B45" i="6"/>
  <c r="B48" i="6"/>
  <c r="A47" i="6"/>
  <c r="A49" i="6"/>
  <c r="A45" i="6"/>
  <c r="A46" i="6"/>
  <c r="B46" i="6"/>
  <c r="A48" i="6"/>
  <c r="B47" i="6"/>
  <c r="AQ30" i="6"/>
  <c r="AQ25" i="6"/>
  <c r="AP17" i="6"/>
  <c r="AO25" i="6"/>
  <c r="AQ22" i="6"/>
  <c r="AP22" i="6"/>
  <c r="AO21" i="6"/>
  <c r="AO20" i="6"/>
  <c r="AQ23" i="6"/>
  <c r="AQ17" i="6"/>
  <c r="AQ20" i="6"/>
  <c r="AQ19" i="6"/>
  <c r="AO24" i="6"/>
  <c r="AO26" i="6"/>
  <c r="AQ26" i="6"/>
  <c r="AO27" i="6"/>
  <c r="AP20" i="6"/>
  <c r="AQ18" i="6"/>
  <c r="AQ24" i="6"/>
  <c r="AQ27" i="6"/>
  <c r="AO17" i="6"/>
  <c r="AP30" i="6"/>
  <c r="AO18" i="6"/>
  <c r="AO22" i="6"/>
  <c r="AP21" i="6"/>
  <c r="AP24" i="6"/>
  <c r="AO30" i="6"/>
  <c r="AO23" i="6"/>
  <c r="AO19" i="6"/>
  <c r="AP25" i="6"/>
  <c r="AQ28" i="6"/>
  <c r="AP18" i="6"/>
  <c r="AP26" i="6"/>
  <c r="AQ21" i="6"/>
  <c r="AO28" i="6"/>
  <c r="AP27" i="6"/>
  <c r="AP23" i="6"/>
  <c r="AQ29" i="6"/>
  <c r="AP28" i="6"/>
  <c r="AP19" i="6"/>
  <c r="AP29" i="6"/>
  <c r="AO29" i="6"/>
  <c r="AD37" i="11"/>
  <c r="AD39" i="8"/>
  <c r="AD8" i="11"/>
  <c r="AD33" i="11"/>
  <c r="AP13" i="8"/>
  <c r="AQ11" i="8"/>
  <c r="AQ10" i="8"/>
  <c r="AP8" i="8"/>
  <c r="AR8" i="8" s="1"/>
  <c r="AO6" i="8"/>
  <c r="AQ3" i="8"/>
  <c r="AP9" i="8"/>
  <c r="AO11" i="8"/>
  <c r="AQ15" i="8"/>
  <c r="AP12" i="8"/>
  <c r="AQ13" i="8"/>
  <c r="AR13" i="8" s="1"/>
  <c r="AP15" i="8"/>
  <c r="AO12" i="8"/>
  <c r="AP7" i="8"/>
  <c r="AP5" i="8"/>
  <c r="AQ12" i="8"/>
  <c r="AO4" i="8"/>
  <c r="AP16" i="8"/>
  <c r="AO13" i="8"/>
  <c r="AO7" i="8"/>
  <c r="AQ14" i="8"/>
  <c r="AO8" i="8"/>
  <c r="AO9" i="8"/>
  <c r="AO16" i="8"/>
  <c r="AP14" i="8"/>
  <c r="AQ16" i="8"/>
  <c r="AO5" i="8"/>
  <c r="AP10" i="8"/>
  <c r="AQ4" i="8"/>
  <c r="AO10" i="8"/>
  <c r="AP3" i="8"/>
  <c r="AO15" i="8"/>
  <c r="AQ7" i="8"/>
  <c r="AO3" i="8"/>
  <c r="AQ5" i="8"/>
  <c r="AR5" i="8" s="1"/>
  <c r="AQ6" i="8"/>
  <c r="AQ8" i="8"/>
  <c r="AP4" i="8"/>
  <c r="AQ9" i="8"/>
  <c r="AO14" i="8"/>
  <c r="AP11" i="8"/>
  <c r="AP6" i="8"/>
  <c r="AA39" i="16"/>
  <c r="AD35" i="11"/>
  <c r="AD6" i="11"/>
  <c r="AQ7" i="9"/>
  <c r="AO9" i="9"/>
  <c r="AO7" i="9"/>
  <c r="AP11" i="9"/>
  <c r="AO13" i="9"/>
  <c r="AP6" i="9"/>
  <c r="AQ11" i="9"/>
  <c r="AQ12" i="9"/>
  <c r="AP13" i="9"/>
  <c r="AQ6" i="9"/>
  <c r="AO3" i="9"/>
  <c r="AQ15" i="9"/>
  <c r="AO14" i="9"/>
  <c r="AQ10" i="9"/>
  <c r="AO15" i="9"/>
  <c r="AQ3" i="9"/>
  <c r="AQ16" i="9"/>
  <c r="AP7" i="9"/>
  <c r="AO4" i="9"/>
  <c r="AQ4" i="9"/>
  <c r="AP4" i="9"/>
  <c r="AQ14" i="9"/>
  <c r="AR14" i="9" s="1"/>
  <c r="AQ13" i="9"/>
  <c r="AQ8" i="9"/>
  <c r="AO10" i="9"/>
  <c r="AP14" i="9"/>
  <c r="AP8" i="9"/>
  <c r="AP3" i="9"/>
  <c r="AO6" i="9"/>
  <c r="AO12" i="9"/>
  <c r="AP10" i="9"/>
  <c r="AR10" i="9" s="1"/>
  <c r="AO16" i="9"/>
  <c r="AQ5" i="9"/>
  <c r="AO5" i="9"/>
  <c r="AO8" i="9"/>
  <c r="AO11" i="9"/>
  <c r="AP5" i="9"/>
  <c r="AQ9" i="9"/>
  <c r="AP16" i="9"/>
  <c r="AP12" i="9"/>
  <c r="AP15" i="9"/>
  <c r="AP9" i="9"/>
  <c r="AD21" i="11"/>
  <c r="A49" i="11"/>
  <c r="A45" i="11"/>
  <c r="B48" i="11"/>
  <c r="B50" i="11"/>
  <c r="B51" i="11"/>
  <c r="B46" i="11"/>
  <c r="A46" i="11"/>
  <c r="A51" i="11"/>
  <c r="B47" i="11"/>
  <c r="A50" i="11"/>
  <c r="A47" i="11"/>
  <c r="A48" i="11"/>
  <c r="B45" i="11"/>
  <c r="B49" i="11"/>
  <c r="AO15" i="6"/>
  <c r="AQ8" i="6"/>
  <c r="AP4" i="6"/>
  <c r="AQ7" i="6"/>
  <c r="AP12" i="6"/>
  <c r="AP16" i="6"/>
  <c r="AQ9" i="6"/>
  <c r="AQ4" i="6"/>
  <c r="AQ16" i="6"/>
  <c r="AP10" i="6"/>
  <c r="AO11" i="6"/>
  <c r="AQ10" i="6"/>
  <c r="AP8" i="6"/>
  <c r="AP7" i="6"/>
  <c r="AQ12" i="6"/>
  <c r="AO6" i="6"/>
  <c r="AO8" i="6"/>
  <c r="AP9" i="6"/>
  <c r="AQ15" i="6"/>
  <c r="AO3" i="6"/>
  <c r="AQ14" i="6"/>
  <c r="AP5" i="6"/>
  <c r="AO13" i="6"/>
  <c r="AP13" i="6"/>
  <c r="AO7" i="6"/>
  <c r="AO4" i="6"/>
  <c r="AQ6" i="6"/>
  <c r="AP11" i="6"/>
  <c r="AQ3" i="6"/>
  <c r="AQ5" i="6"/>
  <c r="AO12" i="6"/>
  <c r="AP15" i="6"/>
  <c r="AO16" i="6"/>
  <c r="AO5" i="6"/>
  <c r="AP14" i="6"/>
  <c r="AP6" i="6"/>
  <c r="AO9" i="6"/>
  <c r="AQ13" i="6"/>
  <c r="AO10" i="6"/>
  <c r="AQ11" i="6"/>
  <c r="AR11" i="6" s="1"/>
  <c r="AO14" i="6"/>
  <c r="AP3" i="6"/>
  <c r="AQ11" i="10"/>
  <c r="AQ13" i="10"/>
  <c r="AO5" i="10"/>
  <c r="AP11" i="10"/>
  <c r="AQ12" i="10"/>
  <c r="AP6" i="10"/>
  <c r="AO16" i="10"/>
  <c r="AO9" i="10"/>
  <c r="AQ9" i="10"/>
  <c r="AP14" i="10"/>
  <c r="AQ15" i="10"/>
  <c r="AO14" i="10"/>
  <c r="AO10" i="10"/>
  <c r="AO15" i="10"/>
  <c r="AQ10" i="10"/>
  <c r="AQ3" i="10"/>
  <c r="AP15" i="10"/>
  <c r="AO4" i="10"/>
  <c r="AO7" i="10"/>
  <c r="AP13" i="10"/>
  <c r="AR13" i="10" s="1"/>
  <c r="AO11" i="10"/>
  <c r="AQ7" i="10"/>
  <c r="AO13" i="10"/>
  <c r="AQ5" i="10"/>
  <c r="AP16" i="10"/>
  <c r="AO12" i="10"/>
  <c r="AP9" i="10"/>
  <c r="AP5" i="10"/>
  <c r="AQ4" i="10"/>
  <c r="AQ6" i="10"/>
  <c r="AQ8" i="10"/>
  <c r="AQ16" i="10"/>
  <c r="AP8" i="10"/>
  <c r="AP12" i="10"/>
  <c r="AO8" i="10"/>
  <c r="AQ14" i="10"/>
  <c r="AP3" i="10"/>
  <c r="AP4" i="10"/>
  <c r="AO3" i="10"/>
  <c r="AP10" i="10"/>
  <c r="AP7" i="10"/>
  <c r="AO6" i="10"/>
  <c r="X45" i="6"/>
  <c r="X69" i="6"/>
  <c r="W63" i="6"/>
  <c r="X67" i="6"/>
  <c r="X53" i="6"/>
  <c r="X71" i="6"/>
  <c r="X70" i="6"/>
  <c r="W56" i="6"/>
  <c r="Y56" i="6"/>
  <c r="X58" i="6"/>
  <c r="Y47" i="6"/>
  <c r="Y46" i="6"/>
  <c r="Y66" i="6"/>
  <c r="W59" i="6"/>
  <c r="W71" i="6"/>
  <c r="Y69" i="6"/>
  <c r="X68" i="6"/>
  <c r="X64" i="6"/>
  <c r="Y58" i="6"/>
  <c r="W68" i="6"/>
  <c r="X61" i="6"/>
  <c r="X51" i="6"/>
  <c r="Y72" i="6"/>
  <c r="W45" i="6"/>
  <c r="W54" i="6"/>
  <c r="Y52" i="6"/>
  <c r="W65" i="6"/>
  <c r="W62" i="6"/>
  <c r="Y70" i="6"/>
  <c r="W61" i="6"/>
  <c r="W51" i="6"/>
  <c r="X48" i="6"/>
  <c r="X46" i="6"/>
  <c r="X55" i="6"/>
  <c r="AK54" i="6" s="1"/>
  <c r="Y50" i="6"/>
  <c r="W58" i="6"/>
  <c r="X57" i="6"/>
  <c r="X63" i="6"/>
  <c r="W49" i="6"/>
  <c r="X59" i="6"/>
  <c r="Y54" i="6"/>
  <c r="W69" i="6"/>
  <c r="W70" i="6"/>
  <c r="Y61" i="6"/>
  <c r="Y68" i="6"/>
  <c r="Y63" i="6"/>
  <c r="Y48" i="6"/>
  <c r="X60" i="6"/>
  <c r="W72" i="6"/>
  <c r="W57" i="6"/>
  <c r="W67" i="6"/>
  <c r="X49" i="6"/>
  <c r="W50" i="6"/>
  <c r="X65" i="6"/>
  <c r="X52" i="6"/>
  <c r="W53" i="6"/>
  <c r="X62" i="6"/>
  <c r="W66" i="6"/>
  <c r="Y65" i="6"/>
  <c r="X47" i="6"/>
  <c r="AK47" i="6" s="1"/>
  <c r="Y57" i="6"/>
  <c r="X54" i="6"/>
  <c r="W46" i="6"/>
  <c r="Y67" i="6"/>
  <c r="Y59" i="6"/>
  <c r="X56" i="6"/>
  <c r="X66" i="6"/>
  <c r="W60" i="6"/>
  <c r="Y45" i="6"/>
  <c r="Y64" i="6"/>
  <c r="Y60" i="6"/>
  <c r="Y53" i="6"/>
  <c r="Y49" i="6"/>
  <c r="X50" i="6"/>
  <c r="Y51" i="6"/>
  <c r="W64" i="6"/>
  <c r="Y62" i="6"/>
  <c r="Y55" i="6"/>
  <c r="X72" i="6"/>
  <c r="W48" i="6"/>
  <c r="W47" i="6"/>
  <c r="Y71" i="6"/>
  <c r="W52" i="6"/>
  <c r="W55" i="6"/>
  <c r="AP4" i="5"/>
  <c r="AP10" i="5"/>
  <c r="AP3" i="5"/>
  <c r="AP7" i="5"/>
  <c r="AQ16" i="5"/>
  <c r="AO16" i="5"/>
  <c r="AO14" i="5"/>
  <c r="AQ6" i="5"/>
  <c r="AQ7" i="5"/>
  <c r="AO11" i="5"/>
  <c r="AP14" i="5"/>
  <c r="AP8" i="5"/>
  <c r="AP12" i="5"/>
  <c r="AQ9" i="5"/>
  <c r="AO9" i="5"/>
  <c r="AP6" i="5"/>
  <c r="AO8" i="5"/>
  <c r="AP16" i="5"/>
  <c r="AP15" i="5"/>
  <c r="AO15" i="5"/>
  <c r="AQ4" i="5"/>
  <c r="AO7" i="5"/>
  <c r="AQ11" i="5"/>
  <c r="AO5" i="5"/>
  <c r="AQ10" i="5"/>
  <c r="AO10" i="5"/>
  <c r="AO6" i="5"/>
  <c r="AO3" i="5"/>
  <c r="AQ13" i="5"/>
  <c r="AP9" i="5"/>
  <c r="AP11" i="5"/>
  <c r="AQ8" i="5"/>
  <c r="AQ5" i="5"/>
  <c r="AQ14" i="5"/>
  <c r="AO12" i="5"/>
  <c r="AP13" i="5"/>
  <c r="AO13" i="5"/>
  <c r="AP5" i="5"/>
  <c r="AO4" i="5"/>
  <c r="AQ3" i="5"/>
  <c r="AQ12" i="5"/>
  <c r="AQ15" i="5"/>
  <c r="AD30" i="11"/>
  <c r="AD14" i="11"/>
  <c r="AD16" i="11"/>
  <c r="B50" i="8"/>
  <c r="A45" i="8"/>
  <c r="A49" i="8"/>
  <c r="B53" i="8"/>
  <c r="A51" i="8"/>
  <c r="B48" i="8"/>
  <c r="A50" i="8"/>
  <c r="A46" i="8"/>
  <c r="A53" i="8"/>
  <c r="B52" i="8"/>
  <c r="B46" i="8"/>
  <c r="A47" i="8"/>
  <c r="B51" i="8"/>
  <c r="A52" i="8"/>
  <c r="A48" i="8"/>
  <c r="B47" i="8"/>
  <c r="B45" i="8"/>
  <c r="B49" i="8"/>
  <c r="AD39" i="10"/>
  <c r="AD19" i="11"/>
  <c r="AD13" i="11"/>
  <c r="AD39" i="6"/>
  <c r="AQ25" i="7"/>
  <c r="AR25" i="7" s="1"/>
  <c r="AP24" i="7"/>
  <c r="AO19" i="7"/>
  <c r="AO17" i="7"/>
  <c r="AP26" i="7"/>
  <c r="AP19" i="7"/>
  <c r="AQ27" i="7"/>
  <c r="AP18" i="7"/>
  <c r="AO18" i="7"/>
  <c r="AO28" i="7"/>
  <c r="AQ28" i="7"/>
  <c r="AP29" i="7"/>
  <c r="AO29" i="7"/>
  <c r="AQ20" i="7"/>
  <c r="AO30" i="7"/>
  <c r="AO20" i="7"/>
  <c r="AQ26" i="7"/>
  <c r="AR26" i="7" s="1"/>
  <c r="AO21" i="7"/>
  <c r="AQ30" i="7"/>
  <c r="AP22" i="7"/>
  <c r="AO26" i="7"/>
  <c r="AP28" i="7"/>
  <c r="AQ24" i="7"/>
  <c r="AQ29" i="7"/>
  <c r="AR29" i="7" s="1"/>
  <c r="AO27" i="7"/>
  <c r="AQ22" i="7"/>
  <c r="AP25" i="7"/>
  <c r="AO23" i="7"/>
  <c r="AQ18" i="7"/>
  <c r="AP17" i="7"/>
  <c r="AP27" i="7"/>
  <c r="AO25" i="7"/>
  <c r="AP30" i="7"/>
  <c r="AP20" i="7"/>
  <c r="AQ19" i="7"/>
  <c r="AO22" i="7"/>
  <c r="AP21" i="7"/>
  <c r="AQ23" i="7"/>
  <c r="AO24" i="7"/>
  <c r="AQ21" i="7"/>
  <c r="AQ17" i="7"/>
  <c r="AP23" i="7"/>
  <c r="AD17" i="11"/>
  <c r="AD39" i="5"/>
  <c r="AP26" i="11"/>
  <c r="AO29" i="11"/>
  <c r="AO22" i="11"/>
  <c r="AP20" i="11"/>
  <c r="AO19" i="11"/>
  <c r="AO23" i="11"/>
  <c r="AQ26" i="11"/>
  <c r="AQ29" i="11"/>
  <c r="AP17" i="11"/>
  <c r="AP23" i="11"/>
  <c r="AQ18" i="11"/>
  <c r="AQ30" i="11"/>
  <c r="AP18" i="11"/>
  <c r="AQ23" i="11"/>
  <c r="AP25" i="11"/>
  <c r="AQ17" i="11"/>
  <c r="AQ28" i="11"/>
  <c r="AO18" i="11"/>
  <c r="AO21" i="11"/>
  <c r="AO17" i="11"/>
  <c r="AQ27" i="11"/>
  <c r="AO26" i="11"/>
  <c r="AO20" i="11"/>
  <c r="AQ25" i="11"/>
  <c r="AO24" i="11"/>
  <c r="AO28" i="11"/>
  <c r="AP28" i="11"/>
  <c r="AQ19" i="11"/>
  <c r="AP21" i="11"/>
  <c r="AP24" i="11"/>
  <c r="AQ24" i="11"/>
  <c r="AP27" i="11"/>
  <c r="AQ22" i="11"/>
  <c r="AQ21" i="11"/>
  <c r="AP30" i="11"/>
  <c r="AO30" i="11"/>
  <c r="AP22" i="11"/>
  <c r="AP29" i="11"/>
  <c r="AO27" i="11"/>
  <c r="AP19" i="11"/>
  <c r="AQ20" i="11"/>
  <c r="AO25" i="11"/>
  <c r="AM18" i="7"/>
  <c r="AK18" i="7"/>
  <c r="AL18" i="7"/>
  <c r="AO11" i="7"/>
  <c r="AP14" i="7"/>
  <c r="AQ11" i="7"/>
  <c r="AP5" i="7"/>
  <c r="AO14" i="7"/>
  <c r="AO10" i="7"/>
  <c r="AQ9" i="7"/>
  <c r="AR9" i="7" s="1"/>
  <c r="AQ8" i="7"/>
  <c r="AO15" i="7"/>
  <c r="AP7" i="7"/>
  <c r="AO13" i="7"/>
  <c r="AQ13" i="7"/>
  <c r="AQ14" i="7"/>
  <c r="AQ6" i="7"/>
  <c r="AO4" i="7"/>
  <c r="AQ5" i="7"/>
  <c r="AP12" i="7"/>
  <c r="AQ15" i="7"/>
  <c r="AO12" i="7"/>
  <c r="AO7" i="7"/>
  <c r="AP9" i="7"/>
  <c r="AP6" i="7"/>
  <c r="AO6" i="7"/>
  <c r="AO8" i="7"/>
  <c r="AP8" i="7"/>
  <c r="AP11" i="7"/>
  <c r="AQ3" i="7"/>
  <c r="AQ4" i="7"/>
  <c r="AP16" i="7"/>
  <c r="AQ10" i="7"/>
  <c r="AQ12" i="7"/>
  <c r="AP13" i="7"/>
  <c r="AP4" i="7"/>
  <c r="AP3" i="7"/>
  <c r="AO16" i="7"/>
  <c r="AO5" i="7"/>
  <c r="AO3" i="7"/>
  <c r="AQ16" i="7"/>
  <c r="AP10" i="7"/>
  <c r="AO9" i="7"/>
  <c r="AP15" i="7"/>
  <c r="AQ7" i="7"/>
  <c r="Y48" i="5"/>
  <c r="W60" i="5"/>
  <c r="Y53" i="5"/>
  <c r="W49" i="5"/>
  <c r="X47" i="5"/>
  <c r="X50" i="5"/>
  <c r="Y67" i="5"/>
  <c r="X59" i="5"/>
  <c r="X49" i="5"/>
  <c r="W45" i="5"/>
  <c r="W68" i="5"/>
  <c r="X52" i="5"/>
  <c r="W51" i="5"/>
  <c r="W58" i="5"/>
  <c r="W59" i="5"/>
  <c r="W66" i="5"/>
  <c r="Y59" i="5"/>
  <c r="Y49" i="5"/>
  <c r="Y54" i="5"/>
  <c r="X70" i="5"/>
  <c r="W54" i="5"/>
  <c r="Y65" i="5"/>
  <c r="Y61" i="5"/>
  <c r="X66" i="5"/>
  <c r="X51" i="5"/>
  <c r="Y57" i="5"/>
  <c r="W72" i="5"/>
  <c r="X56" i="5"/>
  <c r="X67" i="5"/>
  <c r="W53" i="5"/>
  <c r="Y66" i="5"/>
  <c r="W47" i="5"/>
  <c r="Y68" i="5"/>
  <c r="X71" i="5"/>
  <c r="W69" i="5"/>
  <c r="Y69" i="5"/>
  <c r="X55" i="5"/>
  <c r="Y45" i="5"/>
  <c r="W65" i="5"/>
  <c r="W61" i="5"/>
  <c r="W63" i="5"/>
  <c r="W62" i="5"/>
  <c r="W67" i="5"/>
  <c r="X64" i="5"/>
  <c r="X63" i="5"/>
  <c r="Y51" i="5"/>
  <c r="Y71" i="5"/>
  <c r="X53" i="5"/>
  <c r="X48" i="5"/>
  <c r="X69" i="5"/>
  <c r="W55" i="5"/>
  <c r="Y56" i="5"/>
  <c r="Y55" i="5"/>
  <c r="W57" i="5"/>
  <c r="Y64" i="5"/>
  <c r="Y62" i="5"/>
  <c r="Y47" i="5"/>
  <c r="W56" i="5"/>
  <c r="W71" i="5"/>
  <c r="W70" i="5"/>
  <c r="X65" i="5"/>
  <c r="Y60" i="5"/>
  <c r="X54" i="5"/>
  <c r="X46" i="5"/>
  <c r="Y46" i="5"/>
  <c r="X58" i="5"/>
  <c r="X62" i="5"/>
  <c r="W52" i="5"/>
  <c r="X68" i="5"/>
  <c r="Y50" i="5"/>
  <c r="W50" i="5"/>
  <c r="X60" i="5"/>
  <c r="X57" i="5"/>
  <c r="X45" i="5"/>
  <c r="W48" i="5"/>
  <c r="X61" i="5"/>
  <c r="W64" i="5"/>
  <c r="Y72" i="5"/>
  <c r="Y58" i="5"/>
  <c r="W46" i="5"/>
  <c r="Y52" i="5"/>
  <c r="X72" i="5"/>
  <c r="Y70" i="5"/>
  <c r="Y63" i="5"/>
  <c r="AD34" i="11"/>
  <c r="AD32" i="11"/>
  <c r="AF4" i="7"/>
  <c r="AE4" i="7"/>
  <c r="AG4" i="7"/>
  <c r="AD28" i="11"/>
  <c r="A48" i="5"/>
  <c r="B48" i="5"/>
  <c r="B49" i="5"/>
  <c r="B47" i="5"/>
  <c r="A49" i="5"/>
  <c r="A46" i="5"/>
  <c r="A45" i="5"/>
  <c r="A47" i="5"/>
  <c r="B45" i="5"/>
  <c r="B46" i="5"/>
  <c r="AD11" i="11"/>
  <c r="AO17" i="8"/>
  <c r="AP22" i="8"/>
  <c r="AQ30" i="8"/>
  <c r="AQ19" i="8"/>
  <c r="AQ29" i="8"/>
  <c r="AP25" i="8"/>
  <c r="AQ25" i="8"/>
  <c r="AP27" i="8"/>
  <c r="AO26" i="8"/>
  <c r="AO24" i="8"/>
  <c r="AP26" i="8"/>
  <c r="AO25" i="8"/>
  <c r="AP30" i="8"/>
  <c r="AO18" i="8"/>
  <c r="AP20" i="8"/>
  <c r="AO28" i="8"/>
  <c r="AQ23" i="8"/>
  <c r="AQ20" i="8"/>
  <c r="AP18" i="8"/>
  <c r="AO20" i="8"/>
  <c r="AP21" i="8"/>
  <c r="AO29" i="8"/>
  <c r="AO23" i="8"/>
  <c r="AO21" i="8"/>
  <c r="AQ22" i="8"/>
  <c r="AP19" i="8"/>
  <c r="AQ18" i="8"/>
  <c r="AP28" i="8"/>
  <c r="AQ21" i="8"/>
  <c r="AQ27" i="8"/>
  <c r="AQ17" i="8"/>
  <c r="AP24" i="8"/>
  <c r="AO30" i="8"/>
  <c r="AP29" i="8"/>
  <c r="AO22" i="8"/>
  <c r="AQ26" i="8"/>
  <c r="AP23" i="8"/>
  <c r="AO27" i="8"/>
  <c r="AQ24" i="8"/>
  <c r="AO19" i="8"/>
  <c r="AP17" i="8"/>
  <c r="AQ28" i="8"/>
  <c r="AD24" i="11"/>
  <c r="AD38" i="11"/>
  <c r="B50" i="10"/>
  <c r="A49" i="10"/>
  <c r="A45" i="10"/>
  <c r="A47" i="10"/>
  <c r="B49" i="10"/>
  <c r="A51" i="10"/>
  <c r="A50" i="10"/>
  <c r="A48" i="10"/>
  <c r="B46" i="10"/>
  <c r="B45" i="10"/>
  <c r="B47" i="10"/>
  <c r="A46" i="10"/>
  <c r="B48" i="10"/>
  <c r="B51" i="10"/>
  <c r="AD7" i="11"/>
  <c r="B50" i="7"/>
  <c r="A49" i="7"/>
  <c r="A50" i="7"/>
  <c r="A46" i="7"/>
  <c r="B51" i="7"/>
  <c r="A45" i="7"/>
  <c r="A51" i="7"/>
  <c r="B53" i="7"/>
  <c r="B46" i="7"/>
  <c r="B49" i="7"/>
  <c r="A52" i="7"/>
  <c r="A47" i="7"/>
  <c r="A53" i="7"/>
  <c r="B47" i="7"/>
  <c r="B48" i="7"/>
  <c r="B52" i="7"/>
  <c r="B45" i="7"/>
  <c r="A48" i="7"/>
  <c r="AD4" i="11"/>
  <c r="AD39" i="7"/>
  <c r="X53" i="11"/>
  <c r="W53" i="11"/>
  <c r="X52" i="11"/>
  <c r="X49" i="11"/>
  <c r="W67" i="11"/>
  <c r="Y65" i="11"/>
  <c r="W59" i="11"/>
  <c r="Y64" i="11"/>
  <c r="Y45" i="11"/>
  <c r="Y48" i="11"/>
  <c r="Y53" i="11"/>
  <c r="Y58" i="11"/>
  <c r="X61" i="11"/>
  <c r="W68" i="11"/>
  <c r="W65" i="11"/>
  <c r="W70" i="11"/>
  <c r="Y70" i="11"/>
  <c r="X67" i="11"/>
  <c r="X64" i="11"/>
  <c r="X70" i="11"/>
  <c r="W55" i="11"/>
  <c r="W61" i="11"/>
  <c r="W60" i="11"/>
  <c r="Y60" i="11"/>
  <c r="W52" i="11"/>
  <c r="Y50" i="11"/>
  <c r="Y69" i="11"/>
  <c r="W46" i="11"/>
  <c r="X46" i="11"/>
  <c r="X66" i="11"/>
  <c r="X69" i="11"/>
  <c r="X51" i="11"/>
  <c r="X58" i="11"/>
  <c r="X72" i="11"/>
  <c r="W62" i="11"/>
  <c r="W54" i="11"/>
  <c r="W66" i="11"/>
  <c r="W71" i="11"/>
  <c r="Y55" i="11"/>
  <c r="Y68" i="11"/>
  <c r="Y57" i="11"/>
  <c r="Y47" i="11"/>
  <c r="X45" i="11"/>
  <c r="X54" i="11"/>
  <c r="Y71" i="11"/>
  <c r="Y51" i="11"/>
  <c r="Y63" i="11"/>
  <c r="Y59" i="11"/>
  <c r="X50" i="11"/>
  <c r="X48" i="11"/>
  <c r="W50" i="11"/>
  <c r="W69" i="11"/>
  <c r="X62" i="11"/>
  <c r="X56" i="11"/>
  <c r="X57" i="11"/>
  <c r="Y54" i="11"/>
  <c r="X59" i="11"/>
  <c r="Y67" i="11"/>
  <c r="Y49" i="11"/>
  <c r="W63" i="11"/>
  <c r="X55" i="11"/>
  <c r="W51" i="11"/>
  <c r="X47" i="11"/>
  <c r="Y72" i="11"/>
  <c r="W47" i="11"/>
  <c r="W57" i="11"/>
  <c r="X60" i="11"/>
  <c r="X71" i="11"/>
  <c r="X63" i="11"/>
  <c r="W49" i="11"/>
  <c r="W56" i="11"/>
  <c r="W72" i="11"/>
  <c r="W48" i="11"/>
  <c r="Y52" i="11"/>
  <c r="Y56" i="11"/>
  <c r="X68" i="11"/>
  <c r="W64" i="11"/>
  <c r="X65" i="11"/>
  <c r="Y62" i="11"/>
  <c r="Y46" i="11"/>
  <c r="Y61" i="11"/>
  <c r="W45" i="11"/>
  <c r="Y66" i="11"/>
  <c r="W58" i="11"/>
  <c r="X63" i="7"/>
  <c r="W56" i="7"/>
  <c r="X49" i="7"/>
  <c r="Y60" i="7"/>
  <c r="W65" i="7"/>
  <c r="W46" i="7"/>
  <c r="Y58" i="7"/>
  <c r="Y69" i="7"/>
  <c r="W69" i="7"/>
  <c r="W54" i="7"/>
  <c r="X56" i="7"/>
  <c r="X54" i="7"/>
  <c r="Y67" i="7"/>
  <c r="W63" i="7"/>
  <c r="X52" i="7"/>
  <c r="Y48" i="7"/>
  <c r="W67" i="7"/>
  <c r="Y70" i="7"/>
  <c r="Y56" i="7"/>
  <c r="Y57" i="7"/>
  <c r="Y65" i="7"/>
  <c r="Y66" i="7"/>
  <c r="Y55" i="7"/>
  <c r="X53" i="7"/>
  <c r="X61" i="7"/>
  <c r="W58" i="7"/>
  <c r="W50" i="7"/>
  <c r="Y72" i="7"/>
  <c r="X69" i="7"/>
  <c r="Y49" i="7"/>
  <c r="X72" i="7"/>
  <c r="X47" i="7"/>
  <c r="W53" i="7"/>
  <c r="W57" i="7"/>
  <c r="Y64" i="7"/>
  <c r="W59" i="7"/>
  <c r="W70" i="7"/>
  <c r="X64" i="7"/>
  <c r="W49" i="7"/>
  <c r="X57" i="7"/>
  <c r="W61" i="7"/>
  <c r="Y45" i="7"/>
  <c r="W72" i="7"/>
  <c r="X46" i="7"/>
  <c r="W64" i="7"/>
  <c r="Y68" i="7"/>
  <c r="X59" i="7"/>
  <c r="Y62" i="7"/>
  <c r="Y59" i="7"/>
  <c r="W62" i="7"/>
  <c r="Y61" i="7"/>
  <c r="X71" i="7"/>
  <c r="X50" i="7"/>
  <c r="X60" i="7"/>
  <c r="Y50" i="7"/>
  <c r="X68" i="7"/>
  <c r="X51" i="7"/>
  <c r="X48" i="7"/>
  <c r="W47" i="7"/>
  <c r="X65" i="7"/>
  <c r="X62" i="7"/>
  <c r="W52" i="7"/>
  <c r="W66" i="7"/>
  <c r="W68" i="7"/>
  <c r="X70" i="7"/>
  <c r="W55" i="7"/>
  <c r="Y63" i="7"/>
  <c r="Y53" i="7"/>
  <c r="W45" i="7"/>
  <c r="Y52" i="7"/>
  <c r="Y71" i="7"/>
  <c r="Y54" i="7"/>
  <c r="W48" i="7"/>
  <c r="X67" i="7"/>
  <c r="W60" i="7"/>
  <c r="X55" i="7"/>
  <c r="X45" i="7"/>
  <c r="Y47" i="7"/>
  <c r="W71" i="7"/>
  <c r="X58" i="7"/>
  <c r="X66" i="7"/>
  <c r="W51" i="7"/>
  <c r="Y46" i="7"/>
  <c r="Y51" i="7"/>
  <c r="AE8" i="10"/>
  <c r="AF8" i="10"/>
  <c r="AG8" i="10"/>
  <c r="AD20" i="11"/>
  <c r="Y48" i="8"/>
  <c r="Y58" i="8"/>
  <c r="W47" i="8"/>
  <c r="X63" i="8"/>
  <c r="W54" i="8"/>
  <c r="Y62" i="8"/>
  <c r="W59" i="8"/>
  <c r="X61" i="8"/>
  <c r="X70" i="8"/>
  <c r="W67" i="8"/>
  <c r="X57" i="8"/>
  <c r="X66" i="8"/>
  <c r="X68" i="8"/>
  <c r="Y64" i="8"/>
  <c r="Y65" i="8"/>
  <c r="W60" i="8"/>
  <c r="Y67" i="8"/>
  <c r="Y68" i="8"/>
  <c r="W49" i="8"/>
  <c r="W52" i="8"/>
  <c r="Y52" i="8"/>
  <c r="Y57" i="8"/>
  <c r="W66" i="8"/>
  <c r="W56" i="8"/>
  <c r="W69" i="8"/>
  <c r="X45" i="8"/>
  <c r="W48" i="8"/>
  <c r="Y72" i="8"/>
  <c r="W63" i="8"/>
  <c r="W68" i="8"/>
  <c r="Y59" i="8"/>
  <c r="Y50" i="8"/>
  <c r="X60" i="8"/>
  <c r="Y54" i="8"/>
  <c r="W45" i="8"/>
  <c r="X69" i="8"/>
  <c r="Y61" i="8"/>
  <c r="X64" i="8"/>
  <c r="X72" i="8"/>
  <c r="Y51" i="8"/>
  <c r="W58" i="8"/>
  <c r="W65" i="8"/>
  <c r="Y47" i="8"/>
  <c r="Y63" i="8"/>
  <c r="X62" i="8"/>
  <c r="W53" i="8"/>
  <c r="W46" i="8"/>
  <c r="Y60" i="8"/>
  <c r="Y55" i="8"/>
  <c r="Y71" i="8"/>
  <c r="X52" i="8"/>
  <c r="X58" i="8"/>
  <c r="W70" i="8"/>
  <c r="Y66" i="8"/>
  <c r="W57" i="8"/>
  <c r="W64" i="8"/>
  <c r="X49" i="8"/>
  <c r="W62" i="8"/>
  <c r="W50" i="8"/>
  <c r="W72" i="8"/>
  <c r="Y56" i="8"/>
  <c r="X54" i="8"/>
  <c r="Y69" i="8"/>
  <c r="Y70" i="8"/>
  <c r="X47" i="8"/>
  <c r="W71" i="8"/>
  <c r="X56" i="8"/>
  <c r="W51" i="8"/>
  <c r="X53" i="8"/>
  <c r="X48" i="8"/>
  <c r="W61" i="8"/>
  <c r="X71" i="8"/>
  <c r="X51" i="8"/>
  <c r="Y53" i="8"/>
  <c r="X55" i="8"/>
  <c r="Y46" i="8"/>
  <c r="X50" i="8"/>
  <c r="X65" i="8"/>
  <c r="Y45" i="8"/>
  <c r="X46" i="8"/>
  <c r="X59" i="8"/>
  <c r="W55" i="8"/>
  <c r="X67" i="8"/>
  <c r="Y49" i="8"/>
  <c r="AD9" i="11"/>
  <c r="AD25" i="11"/>
  <c r="AD29" i="11"/>
  <c r="AD10" i="11"/>
  <c r="AD36" i="11"/>
  <c r="AD12" i="11"/>
  <c r="AD15" i="11"/>
  <c r="AQ27" i="5"/>
  <c r="AP21" i="5"/>
  <c r="AO17" i="5"/>
  <c r="AP20" i="5"/>
  <c r="AQ22" i="5"/>
  <c r="AP17" i="5"/>
  <c r="AO19" i="5"/>
  <c r="AQ24" i="5"/>
  <c r="AP18" i="5"/>
  <c r="AO20" i="5"/>
  <c r="AO25" i="5"/>
  <c r="AO26" i="5"/>
  <c r="AQ28" i="5"/>
  <c r="AQ25" i="5"/>
  <c r="AQ20" i="5"/>
  <c r="AO28" i="5"/>
  <c r="AO24" i="5"/>
  <c r="AP19" i="5"/>
  <c r="AQ17" i="5"/>
  <c r="AO30" i="5"/>
  <c r="AP27" i="5"/>
  <c r="AO23" i="5"/>
  <c r="AP25" i="5"/>
  <c r="AO21" i="5"/>
  <c r="AO18" i="5"/>
  <c r="AO22" i="5"/>
  <c r="AO29" i="5"/>
  <c r="AP24" i="5"/>
  <c r="AP30" i="5"/>
  <c r="AP28" i="5"/>
  <c r="AP22" i="5"/>
  <c r="AQ26" i="5"/>
  <c r="AP26" i="5"/>
  <c r="AP29" i="5"/>
  <c r="AQ18" i="5"/>
  <c r="AP23" i="5"/>
  <c r="AO27" i="5"/>
  <c r="AQ30" i="5"/>
  <c r="AQ29" i="5"/>
  <c r="AQ21" i="5"/>
  <c r="AQ19" i="5"/>
  <c r="AQ23" i="5"/>
  <c r="AD22" i="11"/>
  <c r="AP20" i="9"/>
  <c r="AP28" i="9"/>
  <c r="AO24" i="9"/>
  <c r="AO26" i="9"/>
  <c r="AP19" i="9"/>
  <c r="AQ24" i="9"/>
  <c r="AP24" i="9"/>
  <c r="AO29" i="9"/>
  <c r="AQ19" i="9"/>
  <c r="AO18" i="9"/>
  <c r="AQ25" i="9"/>
  <c r="AQ20" i="9"/>
  <c r="AO25" i="9"/>
  <c r="AP18" i="9"/>
  <c r="AP29" i="9"/>
  <c r="AQ26" i="9"/>
  <c r="AQ29" i="9"/>
  <c r="AP26" i="9"/>
  <c r="AO19" i="9"/>
  <c r="AO22" i="9"/>
  <c r="AO28" i="9"/>
  <c r="AP17" i="9"/>
  <c r="AQ17" i="9"/>
  <c r="AP27" i="9"/>
  <c r="AO21" i="9"/>
  <c r="AQ23" i="9"/>
  <c r="AQ27" i="9"/>
  <c r="AO30" i="9"/>
  <c r="AO27" i="9"/>
  <c r="AO23" i="9"/>
  <c r="AQ28" i="9"/>
  <c r="AP25" i="9"/>
  <c r="AQ18" i="9"/>
  <c r="AP23" i="9"/>
  <c r="AQ22" i="9"/>
  <c r="AP22" i="9"/>
  <c r="AP30" i="9"/>
  <c r="AO17" i="9"/>
  <c r="AO20" i="9"/>
  <c r="AQ30" i="9"/>
  <c r="AP21" i="9"/>
  <c r="AQ21" i="9"/>
  <c r="AD31" i="11"/>
  <c r="AD27" i="11"/>
  <c r="W67" i="9"/>
  <c r="X71" i="9"/>
  <c r="W71" i="9"/>
  <c r="W65" i="9"/>
  <c r="Y48" i="9"/>
  <c r="Y66" i="9"/>
  <c r="Y55" i="9"/>
  <c r="Y68" i="9"/>
  <c r="W50" i="9"/>
  <c r="W56" i="9"/>
  <c r="W45" i="9"/>
  <c r="Y58" i="9"/>
  <c r="W69" i="9"/>
  <c r="Y46" i="9"/>
  <c r="W62" i="9"/>
  <c r="Y57" i="9"/>
  <c r="X60" i="9"/>
  <c r="X57" i="9"/>
  <c r="Y61" i="9"/>
  <c r="W61" i="9"/>
  <c r="X51" i="9"/>
  <c r="W70" i="9"/>
  <c r="X64" i="9"/>
  <c r="X47" i="9"/>
  <c r="Y63" i="9"/>
  <c r="W46" i="9"/>
  <c r="Y67" i="9"/>
  <c r="X62" i="9"/>
  <c r="X63" i="9"/>
  <c r="X68" i="9"/>
  <c r="X45" i="9"/>
  <c r="W72" i="9"/>
  <c r="Y51" i="9"/>
  <c r="X52" i="9"/>
  <c r="X49" i="9"/>
  <c r="X56" i="9"/>
  <c r="Y56" i="9"/>
  <c r="W66" i="9"/>
  <c r="W64" i="9"/>
  <c r="X66" i="9"/>
  <c r="W68" i="9"/>
  <c r="W57" i="9"/>
  <c r="X59" i="9"/>
  <c r="W51" i="9"/>
  <c r="W48" i="9"/>
  <c r="Y72" i="9"/>
  <c r="W47" i="9"/>
  <c r="Y62" i="9"/>
  <c r="X54" i="9"/>
  <c r="Y47" i="9"/>
  <c r="W49" i="9"/>
  <c r="W58" i="9"/>
  <c r="X58" i="9"/>
  <c r="X50" i="9"/>
  <c r="X53" i="9"/>
  <c r="W60" i="9"/>
  <c r="Y64" i="9"/>
  <c r="Y60" i="9"/>
  <c r="X61" i="9"/>
  <c r="W55" i="9"/>
  <c r="Y54" i="9"/>
  <c r="Y65" i="9"/>
  <c r="Y52" i="9"/>
  <c r="W54" i="9"/>
  <c r="Y71" i="9"/>
  <c r="Y70" i="9"/>
  <c r="X55" i="9"/>
  <c r="X69" i="9"/>
  <c r="Y59" i="9"/>
  <c r="Y53" i="9"/>
  <c r="X72" i="9"/>
  <c r="W63" i="9"/>
  <c r="W59" i="9"/>
  <c r="X48" i="9"/>
  <c r="X70" i="9"/>
  <c r="Y50" i="9"/>
  <c r="Y69" i="9"/>
  <c r="W53" i="9"/>
  <c r="Y45" i="9"/>
  <c r="Y49" i="9"/>
  <c r="W52" i="9"/>
  <c r="X46" i="9"/>
  <c r="X65" i="9"/>
  <c r="X67" i="9"/>
  <c r="AD26" i="11"/>
  <c r="AO9" i="11"/>
  <c r="AQ10" i="11"/>
  <c r="AP14" i="11"/>
  <c r="AO7" i="11"/>
  <c r="AQ16" i="11"/>
  <c r="AO8" i="11"/>
  <c r="AQ6" i="11"/>
  <c r="AO5" i="11"/>
  <c r="AQ8" i="11"/>
  <c r="AP15" i="11"/>
  <c r="AP8" i="11"/>
  <c r="AP11" i="11"/>
  <c r="AQ7" i="11"/>
  <c r="AP9" i="11"/>
  <c r="AO6" i="11"/>
  <c r="AP7" i="11"/>
  <c r="AQ13" i="11"/>
  <c r="AQ5" i="11"/>
  <c r="AO4" i="11"/>
  <c r="AQ4" i="11"/>
  <c r="AR4" i="11" s="1"/>
  <c r="AO16" i="11"/>
  <c r="AQ9" i="11"/>
  <c r="AQ3" i="11"/>
  <c r="AO11" i="11"/>
  <c r="AQ12" i="11"/>
  <c r="AP13" i="11"/>
  <c r="AO13" i="11"/>
  <c r="AO10" i="11"/>
  <c r="AO14" i="11"/>
  <c r="AP12" i="11"/>
  <c r="AP10" i="11"/>
  <c r="AP5" i="11"/>
  <c r="AO15" i="11"/>
  <c r="AO12" i="11"/>
  <c r="AP3" i="11"/>
  <c r="AP4" i="11"/>
  <c r="AP6" i="11"/>
  <c r="AO3" i="11"/>
  <c r="AQ15" i="11"/>
  <c r="AQ14" i="11"/>
  <c r="AR14" i="11" s="1"/>
  <c r="AP16" i="11"/>
  <c r="AQ11" i="11"/>
  <c r="AD18" i="11"/>
  <c r="B50" i="9"/>
  <c r="B48" i="9"/>
  <c r="B49" i="9"/>
  <c r="A52" i="9"/>
  <c r="A45" i="9"/>
  <c r="B52" i="9"/>
  <c r="B51" i="9"/>
  <c r="A53" i="9"/>
  <c r="A50" i="9"/>
  <c r="B47" i="9"/>
  <c r="A49" i="9"/>
  <c r="A48" i="9"/>
  <c r="B53" i="9"/>
  <c r="A51" i="9"/>
  <c r="B45" i="9"/>
  <c r="A46" i="9"/>
  <c r="B46" i="9"/>
  <c r="A47" i="9"/>
  <c r="AD3" i="11"/>
  <c r="AD23" i="11"/>
  <c r="Y70" i="10"/>
  <c r="W60" i="10"/>
  <c r="X68" i="10"/>
  <c r="X53" i="10"/>
  <c r="W63" i="10"/>
  <c r="W47" i="10"/>
  <c r="Y46" i="10"/>
  <c r="Y68" i="10"/>
  <c r="X65" i="10"/>
  <c r="W46" i="10"/>
  <c r="W57" i="10"/>
  <c r="X51" i="10"/>
  <c r="X61" i="10"/>
  <c r="X57" i="10"/>
  <c r="X67" i="10"/>
  <c r="X50" i="10"/>
  <c r="Y62" i="10"/>
  <c r="W52" i="10"/>
  <c r="X59" i="10"/>
  <c r="W64" i="10"/>
  <c r="W68" i="10"/>
  <c r="X69" i="10"/>
  <c r="W58" i="10"/>
  <c r="Y53" i="10"/>
  <c r="W67" i="10"/>
  <c r="X49" i="10"/>
  <c r="Y52" i="10"/>
  <c r="Y55" i="10"/>
  <c r="W59" i="10"/>
  <c r="W54" i="10"/>
  <c r="W45" i="10"/>
  <c r="W62" i="10"/>
  <c r="X48" i="10"/>
  <c r="X45" i="10"/>
  <c r="W51" i="10"/>
  <c r="Y48" i="10"/>
  <c r="W61" i="10"/>
  <c r="W66" i="10"/>
  <c r="Y63" i="10"/>
  <c r="X62" i="10"/>
  <c r="X66" i="10"/>
  <c r="Y58" i="10"/>
  <c r="X71" i="10"/>
  <c r="Y61" i="10"/>
  <c r="X63" i="10"/>
  <c r="W71" i="10"/>
  <c r="W69" i="10"/>
  <c r="Y54" i="10"/>
  <c r="W50" i="10"/>
  <c r="Y51" i="10"/>
  <c r="X70" i="10"/>
  <c r="X52" i="10"/>
  <c r="X54" i="10"/>
  <c r="X55" i="10"/>
  <c r="W70" i="10"/>
  <c r="X60" i="10"/>
  <c r="Y67" i="10"/>
  <c r="X47" i="10"/>
  <c r="Y50" i="10"/>
  <c r="Y47" i="10"/>
  <c r="X58" i="10"/>
  <c r="Y60" i="10"/>
  <c r="W53" i="10"/>
  <c r="Y57" i="10"/>
  <c r="W72" i="10"/>
  <c r="W55" i="10"/>
  <c r="Y59" i="10"/>
  <c r="Y65" i="10"/>
  <c r="X56" i="10"/>
  <c r="X64" i="10"/>
  <c r="W56" i="10"/>
  <c r="Y64" i="10"/>
  <c r="Y71" i="10"/>
  <c r="W48" i="10"/>
  <c r="Y56" i="10"/>
  <c r="X72" i="10"/>
  <c r="Y45" i="10"/>
  <c r="Y66" i="10"/>
  <c r="X46" i="10"/>
  <c r="Y49" i="10"/>
  <c r="W49" i="10"/>
  <c r="W65" i="10"/>
  <c r="Y72" i="10"/>
  <c r="Y69" i="10"/>
  <c r="AD5" i="11"/>
  <c r="AP25" i="10"/>
  <c r="AP27" i="10"/>
  <c r="AP30" i="10"/>
  <c r="AO29" i="10"/>
  <c r="AO18" i="10"/>
  <c r="AO26" i="10"/>
  <c r="AQ29" i="10"/>
  <c r="AP28" i="10"/>
  <c r="AP29" i="10"/>
  <c r="AR29" i="10" s="1"/>
  <c r="AQ22" i="10"/>
  <c r="AO30" i="10"/>
  <c r="AQ30" i="10"/>
  <c r="AR30" i="10" s="1"/>
  <c r="AP21" i="10"/>
  <c r="AQ19" i="10"/>
  <c r="AQ17" i="10"/>
  <c r="AQ21" i="10"/>
  <c r="AP20" i="10"/>
  <c r="AQ28" i="10"/>
  <c r="AQ18" i="10"/>
  <c r="AO21" i="10"/>
  <c r="AQ26" i="10"/>
  <c r="AO27" i="10"/>
  <c r="AO20" i="10"/>
  <c r="AP17" i="10"/>
  <c r="AR17" i="10" s="1"/>
  <c r="AP19" i="10"/>
  <c r="AQ25" i="10"/>
  <c r="AR25" i="10" s="1"/>
  <c r="AP22" i="10"/>
  <c r="AO25" i="10"/>
  <c r="AO23" i="10"/>
  <c r="AO17" i="10"/>
  <c r="AO22" i="10"/>
  <c r="AP24" i="10"/>
  <c r="AP26" i="10"/>
  <c r="AQ27" i="10"/>
  <c r="AP18" i="10"/>
  <c r="AQ20" i="10"/>
  <c r="AQ23" i="10"/>
  <c r="AO24" i="10"/>
  <c r="AQ24" i="10"/>
  <c r="AO28" i="10"/>
  <c r="AO19" i="10"/>
  <c r="AP23" i="10"/>
  <c r="AE17" i="9"/>
  <c r="AG17" i="9"/>
  <c r="AF17" i="9"/>
  <c r="AK17" i="10"/>
  <c r="AM17" i="10"/>
  <c r="AL17" i="10"/>
  <c r="AM32" i="10"/>
  <c r="AL32" i="10"/>
  <c r="AK32" i="10"/>
  <c r="AK34" i="11"/>
  <c r="AL34" i="11"/>
  <c r="AM34" i="11"/>
  <c r="AM14" i="7"/>
  <c r="AL14" i="7"/>
  <c r="AK14" i="7"/>
  <c r="AK8" i="7"/>
  <c r="AL8" i="7"/>
  <c r="AM8" i="7"/>
  <c r="AL31" i="10"/>
  <c r="AK31" i="10"/>
  <c r="AM31" i="10"/>
  <c r="AL5" i="8"/>
  <c r="AK5" i="8"/>
  <c r="AM5" i="8"/>
  <c r="AK10" i="11"/>
  <c r="AL10" i="11"/>
  <c r="AM10" i="11"/>
  <c r="AE7" i="5"/>
  <c r="AF7" i="5"/>
  <c r="AG7" i="5"/>
  <c r="AF28" i="9"/>
  <c r="AG28" i="9"/>
  <c r="AE28" i="9"/>
  <c r="AF21" i="8"/>
  <c r="AG21" i="8"/>
  <c r="AE21" i="8"/>
  <c r="AL21" i="11"/>
  <c r="AK21" i="11"/>
  <c r="AM21" i="11"/>
  <c r="AK34" i="9"/>
  <c r="AM34" i="9"/>
  <c r="AL34" i="9"/>
  <c r="AL27" i="5"/>
  <c r="AK27" i="5"/>
  <c r="AM27" i="5"/>
  <c r="AK26" i="6"/>
  <c r="AL26" i="6"/>
  <c r="AM26" i="6"/>
  <c r="AK11" i="8"/>
  <c r="AM11" i="8"/>
  <c r="AL11" i="8"/>
  <c r="AL26" i="7"/>
  <c r="AK26" i="7"/>
  <c r="AM26" i="7"/>
  <c r="AG24" i="8"/>
  <c r="AF24" i="8"/>
  <c r="AE24" i="8"/>
  <c r="AK30" i="8"/>
  <c r="AL30" i="8"/>
  <c r="AM30" i="8"/>
  <c r="AF5" i="10"/>
  <c r="AG5" i="10"/>
  <c r="AE5" i="10"/>
  <c r="AK38" i="10"/>
  <c r="AL38" i="10"/>
  <c r="AM38" i="10"/>
  <c r="AG20" i="7"/>
  <c r="AE20" i="7"/>
  <c r="AF20" i="7"/>
  <c r="AK7" i="11"/>
  <c r="AM7" i="11"/>
  <c r="AL7" i="11"/>
  <c r="AG19" i="5"/>
  <c r="AF19" i="5"/>
  <c r="AE19" i="5"/>
  <c r="AL9" i="11"/>
  <c r="AK9" i="11"/>
  <c r="AM9" i="11"/>
  <c r="AF5" i="9"/>
  <c r="AG5" i="9"/>
  <c r="AE5" i="9"/>
  <c r="AK30" i="10"/>
  <c r="AL30" i="10"/>
  <c r="AM30" i="10"/>
  <c r="AF7" i="7"/>
  <c r="AG7" i="7"/>
  <c r="AE7" i="7"/>
  <c r="AL15" i="6"/>
  <c r="AM15" i="6"/>
  <c r="AK15" i="6"/>
  <c r="AF16" i="9"/>
  <c r="AE16" i="9"/>
  <c r="AG16" i="9"/>
  <c r="AF22" i="6"/>
  <c r="AE22" i="6"/>
  <c r="AG22" i="6"/>
  <c r="AF26" i="9"/>
  <c r="AE26" i="9"/>
  <c r="AG26" i="9"/>
  <c r="AG28" i="10"/>
  <c r="AF28" i="10"/>
  <c r="AE28" i="10"/>
  <c r="AM31" i="9"/>
  <c r="AL31" i="9"/>
  <c r="AK31" i="9"/>
  <c r="AF32" i="6"/>
  <c r="AG32" i="6"/>
  <c r="AE32" i="6"/>
  <c r="AB23" i="16"/>
  <c r="AC23" i="16"/>
  <c r="AD23" i="16"/>
  <c r="AM13" i="7"/>
  <c r="AK13" i="7"/>
  <c r="AL13" i="7"/>
  <c r="AE31" i="5"/>
  <c r="AG31" i="5"/>
  <c r="AF31" i="5"/>
  <c r="AL6" i="8"/>
  <c r="AM6" i="8"/>
  <c r="AK6" i="8"/>
  <c r="AG34" i="9"/>
  <c r="AF34" i="9"/>
  <c r="AE34" i="9"/>
  <c r="AG22" i="7"/>
  <c r="AE22" i="7"/>
  <c r="AF22" i="7"/>
  <c r="AF18" i="9"/>
  <c r="AG18" i="9"/>
  <c r="AE18" i="9"/>
  <c r="AE24" i="9"/>
  <c r="AF24" i="9"/>
  <c r="AG24" i="9"/>
  <c r="AJ42" i="9"/>
  <c r="AL42" i="9"/>
  <c r="AK42" i="9"/>
  <c r="AG11" i="7"/>
  <c r="AF11" i="7"/>
  <c r="AE11" i="7"/>
  <c r="AL19" i="10"/>
  <c r="AK19" i="10"/>
  <c r="AM19" i="10"/>
  <c r="AK26" i="10"/>
  <c r="AM26" i="10"/>
  <c r="AL26" i="10"/>
  <c r="AG34" i="10"/>
  <c r="AE34" i="10"/>
  <c r="AF34" i="10"/>
  <c r="AE23" i="7"/>
  <c r="AG23" i="7"/>
  <c r="AF23" i="7"/>
  <c r="AL33" i="9"/>
  <c r="AM33" i="9"/>
  <c r="AK33" i="9"/>
  <c r="AL11" i="9"/>
  <c r="AM11" i="9"/>
  <c r="AK11" i="9"/>
  <c r="AE32" i="10"/>
  <c r="AF32" i="10"/>
  <c r="AG32" i="10"/>
  <c r="AG29" i="7"/>
  <c r="AF29" i="7"/>
  <c r="AE29" i="7"/>
  <c r="AE31" i="9"/>
  <c r="AG31" i="9"/>
  <c r="AF31" i="9"/>
  <c r="AM35" i="6"/>
  <c r="AL35" i="6"/>
  <c r="AK35" i="6"/>
  <c r="AK8" i="11"/>
  <c r="AL8" i="11"/>
  <c r="AM8" i="11"/>
  <c r="AL18" i="9"/>
  <c r="AM18" i="9"/>
  <c r="AK18" i="9"/>
  <c r="AE42" i="9"/>
  <c r="AF42" i="9"/>
  <c r="AD42" i="9"/>
  <c r="AE41" i="6"/>
  <c r="AF41" i="6"/>
  <c r="AD41" i="6"/>
  <c r="AE17" i="8"/>
  <c r="AG17" i="8"/>
  <c r="AF17" i="8"/>
  <c r="AG29" i="9"/>
  <c r="AF29" i="9"/>
  <c r="AE29" i="9"/>
  <c r="AK28" i="8"/>
  <c r="AM28" i="8"/>
  <c r="AL28" i="8"/>
  <c r="AL5" i="7"/>
  <c r="AM5" i="7"/>
  <c r="AK5" i="7"/>
  <c r="AJ42" i="8"/>
  <c r="AL42" i="8"/>
  <c r="AK42" i="8"/>
  <c r="AB37" i="16"/>
  <c r="AD37" i="16"/>
  <c r="AC37" i="16"/>
  <c r="AK20" i="8"/>
  <c r="AM20" i="8"/>
  <c r="AL20" i="8"/>
  <c r="AM22" i="5"/>
  <c r="AK22" i="5"/>
  <c r="AL22" i="5"/>
  <c r="AC41" i="16"/>
  <c r="AA41" i="16"/>
  <c r="AB41" i="16"/>
  <c r="AG33" i="10"/>
  <c r="AF33" i="10"/>
  <c r="AE33" i="10"/>
  <c r="AK38" i="6"/>
  <c r="AM38" i="6"/>
  <c r="AL38" i="6"/>
  <c r="AE14" i="8"/>
  <c r="AF14" i="8"/>
  <c r="AG14" i="8"/>
  <c r="AK18" i="5"/>
  <c r="AL18" i="5"/>
  <c r="AM18" i="5"/>
  <c r="AD28" i="16"/>
  <c r="AB28" i="16"/>
  <c r="AC28" i="16"/>
  <c r="AD22" i="16"/>
  <c r="AB22" i="16"/>
  <c r="AC22" i="16"/>
  <c r="AK16" i="11"/>
  <c r="AL16" i="11"/>
  <c r="AM16" i="11"/>
  <c r="AE19" i="10"/>
  <c r="AF19" i="10"/>
  <c r="AG19" i="10"/>
  <c r="AK4" i="9"/>
  <c r="AL4" i="9"/>
  <c r="AM4" i="9"/>
  <c r="AK33" i="10"/>
  <c r="AL33" i="10"/>
  <c r="AM33" i="10"/>
  <c r="AK22" i="10"/>
  <c r="AL22" i="10"/>
  <c r="AM22" i="10"/>
  <c r="AM30" i="9"/>
  <c r="AL30" i="9"/>
  <c r="AK30" i="9"/>
  <c r="AM34" i="6"/>
  <c r="AL34" i="6"/>
  <c r="AK34" i="6"/>
  <c r="AE36" i="8"/>
  <c r="AF36" i="8"/>
  <c r="AG36" i="8"/>
  <c r="AF30" i="7"/>
  <c r="AG30" i="7"/>
  <c r="AE30" i="7"/>
  <c r="AK35" i="9"/>
  <c r="AM35" i="9"/>
  <c r="AL35" i="9"/>
  <c r="AK37" i="7"/>
  <c r="AL37" i="7"/>
  <c r="AM37" i="7"/>
  <c r="AF11" i="10"/>
  <c r="AE11" i="10"/>
  <c r="AG11" i="10"/>
  <c r="AK26" i="8"/>
  <c r="AM26" i="8"/>
  <c r="AL26" i="8"/>
  <c r="AE3" i="10"/>
  <c r="AE39" i="10" s="1"/>
  <c r="AG3" i="10"/>
  <c r="AG39" i="10" s="1"/>
  <c r="AF3" i="10"/>
  <c r="AF39" i="10" s="1"/>
  <c r="AE37" i="8"/>
  <c r="AG37" i="8"/>
  <c r="AF37" i="8"/>
  <c r="AG36" i="9"/>
  <c r="AF36" i="9"/>
  <c r="AE36" i="9"/>
  <c r="AG18" i="8"/>
  <c r="AE18" i="8"/>
  <c r="AF18" i="8"/>
  <c r="AD16" i="16"/>
  <c r="AB16" i="16"/>
  <c r="AC16" i="16"/>
  <c r="AK29" i="11"/>
  <c r="AM29" i="11"/>
  <c r="AL29" i="11"/>
  <c r="AE36" i="10"/>
  <c r="AF36" i="10"/>
  <c r="AG36" i="10"/>
  <c r="AB33" i="16"/>
  <c r="AD33" i="16"/>
  <c r="AC33" i="16"/>
  <c r="AM27" i="10"/>
  <c r="AL27" i="10"/>
  <c r="AK27" i="10"/>
  <c r="AE13" i="9"/>
  <c r="AF13" i="9"/>
  <c r="AG13" i="9"/>
  <c r="AL22" i="8"/>
  <c r="AM22" i="8"/>
  <c r="AK22" i="8"/>
  <c r="AR14" i="8"/>
  <c r="AR18" i="10"/>
  <c r="AR25" i="11"/>
  <c r="AR23" i="8"/>
  <c r="AR27" i="7"/>
  <c r="AR16" i="8"/>
  <c r="X15" i="16"/>
  <c r="AD67" i="16" s="1"/>
  <c r="AR11" i="8"/>
  <c r="AR7" i="8"/>
  <c r="AR30" i="11"/>
  <c r="AR5" i="7"/>
  <c r="AR24" i="10"/>
  <c r="AR4" i="8"/>
  <c r="AL18" i="6"/>
  <c r="AM18" i="6"/>
  <c r="AK18" i="6"/>
  <c r="AK4" i="7"/>
  <c r="AM4" i="7"/>
  <c r="AL4" i="7"/>
  <c r="AM37" i="9"/>
  <c r="AL37" i="9"/>
  <c r="AK37" i="9"/>
  <c r="AK5" i="6"/>
  <c r="AL5" i="6"/>
  <c r="AM5" i="6"/>
  <c r="AG20" i="10"/>
  <c r="AE20" i="10"/>
  <c r="AF20" i="10"/>
  <c r="AM26" i="9"/>
  <c r="AL26" i="9"/>
  <c r="AK26" i="9"/>
  <c r="AE30" i="9"/>
  <c r="AF30" i="9"/>
  <c r="AG30" i="9"/>
  <c r="AE10" i="10"/>
  <c r="AG10" i="10"/>
  <c r="AF10" i="10"/>
  <c r="AB34" i="16"/>
  <c r="AD34" i="16"/>
  <c r="AC34" i="16"/>
  <c r="AR6" i="10"/>
  <c r="AR3" i="11"/>
  <c r="I4" i="4"/>
  <c r="J4" i="4"/>
  <c r="K4" i="4"/>
  <c r="X20" i="4"/>
  <c r="X21" i="4" s="1"/>
  <c r="AA4" i="4"/>
  <c r="AE47" i="4" s="1"/>
  <c r="AK36" i="10" a="1"/>
  <c r="AE17" i="10" a="1"/>
  <c r="AK35" i="11" a="1"/>
  <c r="AE6" i="9" a="1"/>
  <c r="AB7" i="16" a="1"/>
  <c r="AE7" i="8" a="1"/>
  <c r="AK20" i="11" a="1"/>
  <c r="AD41" i="11" a="1"/>
  <c r="AK24" i="8" a="1"/>
  <c r="AK5" i="9" a="1"/>
  <c r="AB6" i="16" a="1"/>
  <c r="AJ42" i="6" a="1"/>
  <c r="AE20" i="6" a="1"/>
  <c r="AB30" i="16" a="1"/>
  <c r="AK10" i="7" a="1"/>
  <c r="AK14" i="10" a="1"/>
  <c r="AK34" i="5" a="1"/>
  <c r="AK29" i="10" a="1"/>
  <c r="AK32" i="7" a="1"/>
  <c r="AE3" i="5" a="1"/>
  <c r="AD41" i="8" a="1"/>
  <c r="AK17" i="9" a="1"/>
  <c r="AE13" i="5" a="1"/>
  <c r="AK36" i="6" a="1"/>
  <c r="AE12" i="11" a="1"/>
  <c r="AK13" i="10" a="1"/>
  <c r="AK24" i="10" a="1"/>
  <c r="AK3" i="5" a="1"/>
  <c r="AK23" i="10" a="1"/>
  <c r="AK38" i="11" a="1"/>
  <c r="AE17" i="6" a="1"/>
  <c r="AE14" i="10" a="1"/>
  <c r="AE22" i="8" a="1"/>
  <c r="H45" i="4" a="1"/>
  <c r="AE33" i="9" a="1"/>
  <c r="AE6" i="5" a="1"/>
  <c r="AE38" i="8" a="1"/>
  <c r="AE12" i="7" a="1"/>
  <c r="AE13" i="6" a="1"/>
  <c r="AB20" i="16" a="1"/>
  <c r="AE18" i="5" a="1"/>
  <c r="AE8" i="5" a="1"/>
  <c r="AK7" i="8" a="1"/>
  <c r="AK32" i="11" a="1"/>
  <c r="AK3" i="10" a="1"/>
  <c r="AE30" i="8" a="1"/>
  <c r="AE6" i="8" a="1"/>
  <c r="AE12" i="6" a="1"/>
  <c r="AE35" i="9" a="1"/>
  <c r="AE19" i="9" a="1"/>
  <c r="AK16" i="9" a="1"/>
  <c r="AB36" i="16" a="1"/>
  <c r="AE22" i="10" a="1"/>
  <c r="AB19" i="16" a="1"/>
  <c r="AE26" i="6" a="1"/>
  <c r="AK11" i="7" a="1"/>
  <c r="AB17" i="16" a="1"/>
  <c r="AE14" i="11" a="1"/>
  <c r="AK36" i="11" a="1"/>
  <c r="AK4" i="5" a="1"/>
  <c r="AK15" i="11" a="1"/>
  <c r="AE25" i="9" a="1"/>
  <c r="AE36" i="6" a="1"/>
  <c r="AK8" i="9" a="1"/>
  <c r="AK5" i="11" a="1"/>
  <c r="AE33" i="6" a="1"/>
  <c r="AB29" i="16" a="1"/>
  <c r="AB9" i="16" a="1"/>
  <c r="AE37" i="11" a="1"/>
  <c r="AK22" i="11" a="1"/>
  <c r="AE20" i="5" a="1"/>
  <c r="AK8" i="10" a="1"/>
  <c r="AE22" i="9" a="1"/>
  <c r="AK6" i="6" a="1"/>
  <c r="AK14" i="11" a="1"/>
  <c r="AE15" i="11" a="1"/>
  <c r="AB4" i="16" a="1"/>
  <c r="AK31" i="11" a="1"/>
  <c r="AE23" i="5" a="1"/>
  <c r="AK21" i="10" a="1"/>
  <c r="AK9" i="6" a="1"/>
  <c r="AK24" i="6" a="1"/>
  <c r="X9" i="10" a="1"/>
  <c r="AE3" i="7" a="1"/>
  <c r="AE15" i="9" a="1"/>
  <c r="AJ41" i="10" a="1"/>
  <c r="AE11" i="8" a="1"/>
  <c r="AK33" i="11" a="1"/>
  <c r="AK18" i="8" a="1"/>
  <c r="AE25" i="10" a="1"/>
  <c r="AE31" i="7" a="1"/>
  <c r="AE16" i="5" a="1"/>
  <c r="AK28" i="9" a="1"/>
  <c r="AE35" i="7" a="1"/>
  <c r="AK7" i="7" a="1"/>
  <c r="X9" i="8" a="1"/>
  <c r="AK37" i="6" a="1"/>
  <c r="AK16" i="5" a="1"/>
  <c r="AE31" i="11" a="1"/>
  <c r="AE7" i="6" a="1"/>
  <c r="AK17" i="7" a="1"/>
  <c r="AK23" i="5" a="1"/>
  <c r="AK10" i="9" a="1"/>
  <c r="AD41" i="10" a="1"/>
  <c r="AE34" i="6" a="1"/>
  <c r="AK4" i="8" a="1"/>
  <c r="AK6" i="7" a="1"/>
  <c r="AE11" i="6" a="1"/>
  <c r="AE15" i="7" a="1"/>
  <c r="AE18" i="11" a="1"/>
  <c r="AE4" i="10" a="1"/>
  <c r="AE15" i="8" a="1"/>
  <c r="AE25" i="5" a="1"/>
  <c r="AK3" i="7" a="1"/>
  <c r="AE3" i="11" a="1"/>
  <c r="AK29" i="6" a="1"/>
  <c r="AK27" i="9" a="1"/>
  <c r="AE36" i="11" a="1"/>
  <c r="AE9" i="5" a="1"/>
  <c r="AK33" i="8" a="1"/>
  <c r="AK15" i="5" a="1"/>
  <c r="AE24" i="5" a="1"/>
  <c r="AE23" i="9" a="1"/>
  <c r="AK12" i="6" a="1"/>
  <c r="AK30" i="7" a="1"/>
  <c r="AK31" i="8" a="1"/>
  <c r="AK36" i="8" a="1"/>
  <c r="AK13" i="11" a="1"/>
  <c r="AK37" i="10" a="1"/>
  <c r="AK32" i="9" a="1"/>
  <c r="AE37" i="7" a="1"/>
  <c r="AK5" i="10" a="1"/>
  <c r="AE37" i="10" a="1"/>
  <c r="AB26" i="16" a="1"/>
  <c r="AE13" i="7" a="1"/>
  <c r="AK16" i="6" a="1"/>
  <c r="AK12" i="8" a="1"/>
  <c r="AK27" i="11" a="1"/>
  <c r="AD42" i="5" a="1"/>
  <c r="AK35" i="5" a="1"/>
  <c r="AE7" i="9" a="1"/>
  <c r="AK5" i="5" a="1"/>
  <c r="AE21" i="10" a="1"/>
  <c r="AK38" i="7" a="1"/>
  <c r="AE38" i="5" a="1"/>
  <c r="AK21" i="7" a="1"/>
  <c r="AB10" i="16" a="1"/>
  <c r="AE3" i="6" a="1"/>
  <c r="AE28" i="5" a="1"/>
  <c r="AB5" i="16" a="1"/>
  <c r="AE25" i="7" a="1"/>
  <c r="AE23" i="8" a="1"/>
  <c r="AK28" i="5" a="1"/>
  <c r="AE3" i="9" a="1"/>
  <c r="AE36" i="5" a="1"/>
  <c r="AK17" i="5" a="1"/>
  <c r="AJ42" i="7" a="1"/>
  <c r="AE21" i="11" a="1"/>
  <c r="AE27" i="6" a="1"/>
  <c r="AE27" i="8" a="1"/>
  <c r="AK21" i="5" a="1"/>
  <c r="AK14" i="8" a="1"/>
  <c r="AK9" i="10" a="1"/>
  <c r="AK6" i="5" a="1"/>
  <c r="AK7" i="9" a="1"/>
  <c r="AB25" i="16" a="1"/>
  <c r="AK33" i="6" a="1"/>
  <c r="AK32" i="6" a="1"/>
  <c r="AK10" i="10" a="1"/>
  <c r="AK30" i="5" a="1"/>
  <c r="AE35" i="6" a="1"/>
  <c r="AE16" i="8" a="1"/>
  <c r="AE18" i="7" a="1"/>
  <c r="AK19" i="11" a="1"/>
  <c r="AK21" i="8" a="1"/>
  <c r="AK15" i="7" a="1"/>
  <c r="AK38" i="8" a="1"/>
  <c r="AK23" i="11" a="1"/>
  <c r="AE6" i="10" a="1"/>
  <c r="AK4" i="10" a="1"/>
  <c r="AE34" i="7" a="1"/>
  <c r="AK25" i="10" a="1"/>
  <c r="AK24" i="5" a="1"/>
  <c r="AB27" i="16" a="1"/>
  <c r="AK17" i="11" a="1"/>
  <c r="AE5" i="5" a="1"/>
  <c r="AK21" i="9" a="1"/>
  <c r="AE33" i="8" a="1"/>
  <c r="AE16" i="6" a="1"/>
  <c r="AD42" i="7" a="1"/>
  <c r="AJ41" i="7" a="1"/>
  <c r="AK31" i="6" a="1"/>
  <c r="AE30" i="10" a="1"/>
  <c r="AK3" i="11" a="1"/>
  <c r="AE5" i="8" a="1"/>
  <c r="AE16" i="7" a="1"/>
  <c r="AK19" i="5" a="1"/>
  <c r="AE10" i="7" a="1"/>
  <c r="AE9" i="10" a="1"/>
  <c r="AE21" i="6" a="1"/>
  <c r="AE27" i="10" a="1"/>
  <c r="AE38" i="11" a="1"/>
  <c r="AE11" i="9" a="1"/>
  <c r="AK14" i="9" a="1"/>
  <c r="AE34" i="5" a="1"/>
  <c r="AE20" i="9" a="1"/>
  <c r="AK24" i="7" a="1"/>
  <c r="AK10" i="6" a="1"/>
  <c r="AE38" i="9" a="1"/>
  <c r="AE25" i="11" a="1"/>
  <c r="AE5" i="7" a="1"/>
  <c r="AE29" i="10" a="1"/>
  <c r="X9" i="6" a="1"/>
  <c r="AK29" i="8" a="1"/>
  <c r="AK35" i="7" a="1"/>
  <c r="AE10" i="5" a="1"/>
  <c r="AE12" i="9" a="1"/>
  <c r="AE28" i="7" a="1"/>
  <c r="AK36" i="5" a="1"/>
  <c r="AK9" i="7" a="1"/>
  <c r="AK15" i="9" a="1"/>
  <c r="AE14" i="9" a="1"/>
  <c r="AK9" i="9" a="1"/>
  <c r="AE37" i="9" a="1"/>
  <c r="AE38" i="10" a="1"/>
  <c r="AK27" i="7" a="1"/>
  <c r="AK20" i="5" a="1"/>
  <c r="AE18" i="6" a="1"/>
  <c r="AK24" i="11" a="1"/>
  <c r="AK33" i="5" a="1"/>
  <c r="AK36" i="7" a="1"/>
  <c r="AK13" i="9" a="1"/>
  <c r="AK21" i="6" a="1"/>
  <c r="AK28" i="11" a="1"/>
  <c r="AE11" i="11" a="1"/>
  <c r="AE28" i="6" a="1"/>
  <c r="AB21" i="16" a="1"/>
  <c r="AE28" i="11" a="1"/>
  <c r="AK25" i="5" a="1"/>
  <c r="AB11" i="16" a="1"/>
  <c r="AK29" i="5" a="1"/>
  <c r="AE27" i="7" a="1"/>
  <c r="AK7" i="10" a="1"/>
  <c r="AE9" i="6" a="1"/>
  <c r="AE13" i="8" a="1"/>
  <c r="AB14" i="16" a="1"/>
  <c r="AK26" i="5" a="1"/>
  <c r="AK12" i="5" a="1"/>
  <c r="AK7" i="5" a="1"/>
  <c r="AK19" i="7" a="1"/>
  <c r="AE26" i="8" a="1"/>
  <c r="AK22" i="6" a="1"/>
  <c r="AK16" i="8" a="1"/>
  <c r="AE9" i="11" a="1"/>
  <c r="AK11" i="5" a="1"/>
  <c r="AK10" i="8" a="1"/>
  <c r="AK13" i="5" a="1"/>
  <c r="AK23" i="8" a="1"/>
  <c r="AE19" i="11" a="1"/>
  <c r="AE12" i="10" a="1"/>
  <c r="AE8" i="7" a="1"/>
  <c r="AK32" i="8" a="1"/>
  <c r="AK6" i="10" a="1"/>
  <c r="AD41" i="9" a="1"/>
  <c r="AK30" i="11" a="1"/>
  <c r="AE8" i="8" a="1"/>
  <c r="AE32" i="9" a="1"/>
  <c r="AK23" i="7" a="1"/>
  <c r="AK11" i="6" a="1"/>
  <c r="AE34" i="8" a="1"/>
  <c r="AE26" i="5" a="1"/>
  <c r="AK36" i="9" a="1"/>
  <c r="AK35" i="10" a="1"/>
  <c r="AK10" i="5" a="1"/>
  <c r="AK8" i="8" a="1"/>
  <c r="AK37" i="11" a="1"/>
  <c r="AE5" i="6" a="1"/>
  <c r="AE25" i="8" a="1"/>
  <c r="AE29" i="11" a="1"/>
  <c r="AK7" i="6" a="1"/>
  <c r="AK13" i="8" a="1"/>
  <c r="AE10" i="11" a="1"/>
  <c r="AK4" i="11" a="1"/>
  <c r="AK19" i="9" a="1"/>
  <c r="AE37" i="5" a="1"/>
  <c r="AK24" i="9" a="1"/>
  <c r="AE13" i="11" a="1"/>
  <c r="AE31" i="6" a="1"/>
  <c r="AD42" i="11" a="1"/>
  <c r="AE16" i="11" a="1"/>
  <c r="AK26" i="11" a="1"/>
  <c r="AJ41" i="9" a="1"/>
  <c r="AK14" i="5" a="1"/>
  <c r="AK28" i="7" a="1"/>
  <c r="AE9" i="8" a="1"/>
  <c r="AK17" i="6" a="1"/>
  <c r="AE4" i="9" a="1"/>
  <c r="AE22" i="11" a="1"/>
  <c r="AE7" i="11" a="1"/>
  <c r="AK20" i="9" a="1"/>
  <c r="AK32" i="5" a="1"/>
  <c r="AE38" i="6" a="1"/>
  <c r="AK37" i="8" a="1"/>
  <c r="AE13" i="10" a="1"/>
  <c r="AE14" i="7" a="1"/>
  <c r="AK3" i="8" a="1"/>
  <c r="AB12" i="16" a="1"/>
  <c r="AE8" i="6" a="1"/>
  <c r="AK9" i="8" a="1"/>
  <c r="AE10" i="6" a="1"/>
  <c r="AE23" i="10" a="1"/>
  <c r="AJ42" i="11" a="1"/>
  <c r="AK16" i="10" a="1"/>
  <c r="AK4" i="6" a="1"/>
  <c r="AE19" i="7" a="1"/>
  <c r="AJ41" i="5" a="1"/>
  <c r="AK30" i="6" a="1"/>
  <c r="AJ41" i="8" a="1"/>
  <c r="AB8" i="16" a="1"/>
  <c r="AE29" i="6" a="1"/>
  <c r="AK20" i="7" a="1"/>
  <c r="AE6" i="11" a="1"/>
  <c r="AE25" i="6" a="1"/>
  <c r="AK34" i="7" a="1"/>
  <c r="AE20" i="11" a="1"/>
  <c r="AE31" i="10" a="1"/>
  <c r="AK8" i="6" a="1"/>
  <c r="X9" i="5" a="1"/>
  <c r="AB13" i="16" a="1"/>
  <c r="AE8" i="9" a="1"/>
  <c r="AE23" i="6" a="1"/>
  <c r="AJ41" i="11" a="1"/>
  <c r="AJ42" i="5" a="1"/>
  <c r="AE9" i="9" a="1"/>
  <c r="AE27" i="9" a="1"/>
  <c r="AE24" i="6" a="1"/>
  <c r="AK12" i="10" a="1"/>
  <c r="AE8" i="11" a="1"/>
  <c r="AE19" i="6" a="1"/>
  <c r="AK19" i="8" a="1"/>
  <c r="AE33" i="11" a="1"/>
  <c r="AK27" i="6" a="1"/>
  <c r="AE21" i="7" a="1"/>
  <c r="AK12" i="7" a="1"/>
  <c r="AE24" i="11" a="1"/>
  <c r="AE12" i="8" a="1"/>
  <c r="AE9" i="7" a="1"/>
  <c r="AK23" i="9" a="1"/>
  <c r="AE4" i="8" a="1"/>
  <c r="AE27" i="5" a="1"/>
  <c r="AE29" i="5" a="1"/>
  <c r="AK17" i="8" a="1"/>
  <c r="AK35" i="8" a="1"/>
  <c r="AB32" i="16" a="1"/>
  <c r="AK12" i="11" a="1"/>
  <c r="AB15" i="16" a="1"/>
  <c r="AB31" i="16" a="1"/>
  <c r="AK28" i="10" a="1"/>
  <c r="AD42" i="6" a="1"/>
  <c r="AE17" i="7" a="1"/>
  <c r="AK33" i="7" a="1"/>
  <c r="AJ41" i="6" a="1"/>
  <c r="AE24" i="10" a="1"/>
  <c r="AE4" i="11" a="1"/>
  <c r="AK14" i="6" a="1"/>
  <c r="AK11" i="10" a="1"/>
  <c r="AE17" i="11" a="1"/>
  <c r="AK16" i="7" a="1"/>
  <c r="AE3" i="8" a="1"/>
  <c r="AE30" i="11" a="1"/>
  <c r="AE32" i="5" a="1"/>
  <c r="AE35" i="10" a="1"/>
  <c r="AE4" i="6" a="1"/>
  <c r="AE22" i="5" a="1"/>
  <c r="X9" i="9" a="1"/>
  <c r="AK31" i="7" a="1"/>
  <c r="AK25" i="7" a="1"/>
  <c r="AE35" i="5" a="1"/>
  <c r="AE20" i="8" a="1"/>
  <c r="AK6" i="9" a="1"/>
  <c r="AK13" i="6" a="1"/>
  <c r="AK15" i="10" a="1"/>
  <c r="AE32" i="11" a="1"/>
  <c r="AE15" i="6" a="1"/>
  <c r="AD41" i="5" a="1"/>
  <c r="AE21" i="5" a="1"/>
  <c r="AK34" i="10" a="1"/>
  <c r="AB24" i="16" a="1"/>
  <c r="AE29" i="8" a="1"/>
  <c r="AK31" i="5" a="1"/>
  <c r="AE11" i="5" a="1"/>
  <c r="AK20" i="10" a="1"/>
  <c r="AE31" i="8" a="1"/>
  <c r="AD42" i="10" a="1"/>
  <c r="AK6" i="11" a="1"/>
  <c r="AK27" i="8" a="1"/>
  <c r="AE32" i="7" a="1"/>
  <c r="AE28" i="8" a="1"/>
  <c r="AK23" i="6" a="1"/>
  <c r="AK18" i="11" a="1"/>
  <c r="AE32" i="8" a="1"/>
  <c r="AE37" i="6" a="1"/>
  <c r="AE24" i="7" a="1"/>
  <c r="AB35" i="16" a="1"/>
  <c r="AK19" i="6" a="1"/>
  <c r="AE19" i="8" a="1"/>
  <c r="AE17" i="5" a="1"/>
  <c r="AE27" i="11" a="1"/>
  <c r="AE18" i="10" a="1"/>
  <c r="AE12" i="5" a="1"/>
  <c r="AE15" i="10" a="1"/>
  <c r="AE16" i="10" a="1"/>
  <c r="AE6" i="6" a="1"/>
  <c r="AK12" i="9" a="1"/>
  <c r="AB38" i="16" a="1"/>
  <c r="AE14" i="6" a="1"/>
  <c r="AK3" i="9" a="1"/>
  <c r="AE4" i="5" a="1"/>
  <c r="AK25" i="9" a="1"/>
  <c r="AD41" i="7" a="1"/>
  <c r="AE30" i="6" a="1"/>
  <c r="AE36" i="7" a="1"/>
  <c r="AJ42" i="10" a="1"/>
  <c r="AE35" i="11" a="1"/>
  <c r="AE14" i="5" a="1"/>
  <c r="AK8" i="5" a="1"/>
  <c r="AE10" i="9" a="1"/>
  <c r="AE21" i="9" a="1"/>
  <c r="AK22" i="7" a="1"/>
  <c r="AK38" i="5" a="1"/>
  <c r="AA42" i="16" a="1"/>
  <c r="AK34" i="8" a="1"/>
  <c r="AD42" i="8" a="1"/>
  <c r="AK29" i="9" a="1"/>
  <c r="AK15" i="8" a="1"/>
  <c r="AK25" i="6" a="1"/>
  <c r="AK25" i="11" a="1"/>
  <c r="AB18" i="16" a="1"/>
  <c r="AE26" i="7" a="1"/>
  <c r="AK38" i="9" a="1"/>
  <c r="AE26" i="11" a="1"/>
  <c r="AE10" i="8" a="1"/>
  <c r="AE26" i="10" a="1"/>
  <c r="AK37" i="5" a="1"/>
  <c r="AK3" i="6" a="1"/>
  <c r="AE7" i="10" a="1"/>
  <c r="AK9" i="5" a="1"/>
  <c r="AK18" i="10" a="1"/>
  <c r="AB3" i="16" a="1"/>
  <c r="AK28" i="6" a="1"/>
  <c r="AE35" i="8" a="1"/>
  <c r="AE5" i="11" a="1"/>
  <c r="AK11" i="11" a="1"/>
  <c r="AE33" i="7" a="1"/>
  <c r="AE30" i="5" a="1"/>
  <c r="AK29" i="7" a="1"/>
  <c r="X9" i="11" a="1"/>
  <c r="AK20" i="6" a="1"/>
  <c r="AK22" i="9" a="1"/>
  <c r="X9" i="7" a="1"/>
  <c r="AE15" i="5" a="1"/>
  <c r="AK25" i="8" a="1"/>
  <c r="AE33" i="5" a="1"/>
  <c r="AE6" i="7" a="1"/>
  <c r="AE38" i="7" a="1"/>
  <c r="AE34" i="11" a="1"/>
  <c r="AE23" i="11" a="1"/>
  <c r="X12" i="5" a="1"/>
  <c r="X12" i="10" a="1"/>
  <c r="X12" i="11" a="1"/>
  <c r="AF6" i="7" l="1"/>
  <c r="AE6" i="7"/>
  <c r="AG6" i="7"/>
  <c r="AE42" i="8"/>
  <c r="AF42" i="8"/>
  <c r="AD42" i="8"/>
  <c r="AL34" i="8"/>
  <c r="AM34" i="8"/>
  <c r="AK34" i="8"/>
  <c r="AA42" i="16"/>
  <c r="AC42" i="16"/>
  <c r="AB42" i="16"/>
  <c r="AD42" i="16" s="1"/>
  <c r="AK38" i="5"/>
  <c r="AM38" i="5"/>
  <c r="AL38" i="5"/>
  <c r="AK22" i="7"/>
  <c r="AL22" i="7"/>
  <c r="AM22" i="7"/>
  <c r="AG21" i="9"/>
  <c r="AF21" i="9"/>
  <c r="AE21" i="9"/>
  <c r="AG10" i="9"/>
  <c r="AF10" i="9"/>
  <c r="AE10" i="9"/>
  <c r="AM8" i="5"/>
  <c r="AK8" i="5"/>
  <c r="AL8" i="5"/>
  <c r="AL42" i="10"/>
  <c r="AJ42" i="10"/>
  <c r="AK42" i="10"/>
  <c r="AM27" i="8"/>
  <c r="AL27" i="8"/>
  <c r="AK27" i="8"/>
  <c r="AK6" i="11"/>
  <c r="AL6" i="11"/>
  <c r="AM6" i="11"/>
  <c r="AD42" i="10"/>
  <c r="AE42" i="10"/>
  <c r="AF42" i="10"/>
  <c r="AF31" i="8"/>
  <c r="AG31" i="8"/>
  <c r="AE31" i="8"/>
  <c r="AL20" i="10"/>
  <c r="AM20" i="10"/>
  <c r="AK20" i="10"/>
  <c r="AG11" i="5"/>
  <c r="AE11" i="5"/>
  <c r="AF11" i="5"/>
  <c r="AK31" i="5"/>
  <c r="AM31" i="5"/>
  <c r="AL31" i="5"/>
  <c r="AE29" i="8"/>
  <c r="AF29" i="8"/>
  <c r="AG29" i="8"/>
  <c r="AB15" i="16"/>
  <c r="AC15" i="16"/>
  <c r="AD15" i="16"/>
  <c r="AM12" i="11"/>
  <c r="AL12" i="11"/>
  <c r="AK12" i="11"/>
  <c r="AB32" i="16"/>
  <c r="AD32" i="16"/>
  <c r="AC32" i="16"/>
  <c r="AL35" i="8"/>
  <c r="AK35" i="8"/>
  <c r="AM35" i="8"/>
  <c r="AM17" i="8"/>
  <c r="AK17" i="8"/>
  <c r="AL17" i="8"/>
  <c r="AE29" i="5"/>
  <c r="AG29" i="5"/>
  <c r="AF29" i="5"/>
  <c r="AF27" i="5"/>
  <c r="AE27" i="5"/>
  <c r="AG27" i="5"/>
  <c r="AF4" i="8"/>
  <c r="AE4" i="8"/>
  <c r="AG4" i="8"/>
  <c r="AM23" i="9"/>
  <c r="AK23" i="9"/>
  <c r="AL23" i="9"/>
  <c r="AL12" i="7"/>
  <c r="AK12" i="7"/>
  <c r="AM12" i="7"/>
  <c r="AG23" i="10"/>
  <c r="AF23" i="10"/>
  <c r="AE23" i="10"/>
  <c r="AG10" i="6"/>
  <c r="AE10" i="6"/>
  <c r="AF10" i="6"/>
  <c r="AL9" i="8"/>
  <c r="AK9" i="8"/>
  <c r="AM9" i="8"/>
  <c r="AE8" i="6"/>
  <c r="AF8" i="6"/>
  <c r="AG8" i="6"/>
  <c r="AD12" i="16"/>
  <c r="AB12" i="16"/>
  <c r="AC12" i="16"/>
  <c r="AM3" i="8"/>
  <c r="AM39" i="8" s="1"/>
  <c r="AL3" i="8"/>
  <c r="AL39" i="8" s="1"/>
  <c r="AK3" i="8"/>
  <c r="AK39" i="8" s="1"/>
  <c r="AF14" i="7"/>
  <c r="AE14" i="7"/>
  <c r="AG14" i="7"/>
  <c r="AF13" i="10"/>
  <c r="AE13" i="10"/>
  <c r="AG13" i="10"/>
  <c r="AM37" i="8"/>
  <c r="AL37" i="8"/>
  <c r="AK37" i="8"/>
  <c r="AM23" i="7"/>
  <c r="AK23" i="7"/>
  <c r="AL23" i="7"/>
  <c r="AG32" i="9"/>
  <c r="AF32" i="9"/>
  <c r="AE32" i="9"/>
  <c r="AE8" i="8"/>
  <c r="AG8" i="8"/>
  <c r="AF8" i="8"/>
  <c r="AM30" i="11"/>
  <c r="AK30" i="11"/>
  <c r="AL30" i="11"/>
  <c r="AE41" i="9"/>
  <c r="AF41" i="9"/>
  <c r="AD41" i="9"/>
  <c r="AM6" i="10"/>
  <c r="AK6" i="10"/>
  <c r="AL6" i="10"/>
  <c r="AK32" i="8"/>
  <c r="AM32" i="8"/>
  <c r="AL32" i="8"/>
  <c r="AF8" i="7"/>
  <c r="AE8" i="7"/>
  <c r="AG8" i="7"/>
  <c r="AE12" i="10"/>
  <c r="AG12" i="10"/>
  <c r="AF12" i="10"/>
  <c r="AK10" i="8"/>
  <c r="AM10" i="8"/>
  <c r="AL10" i="8"/>
  <c r="AF38" i="10"/>
  <c r="AE38" i="10"/>
  <c r="AG38" i="10"/>
  <c r="AG37" i="9"/>
  <c r="AF37" i="9"/>
  <c r="AE37" i="9"/>
  <c r="AL9" i="9"/>
  <c r="AK9" i="9"/>
  <c r="AM9" i="9"/>
  <c r="AG14" i="9"/>
  <c r="AF14" i="9"/>
  <c r="AE14" i="9"/>
  <c r="AK15" i="9"/>
  <c r="AL15" i="9"/>
  <c r="AM15" i="9"/>
  <c r="AM9" i="7"/>
  <c r="AK9" i="7"/>
  <c r="AL9" i="7"/>
  <c r="AL36" i="5"/>
  <c r="AM36" i="5"/>
  <c r="AK36" i="5"/>
  <c r="AE28" i="7"/>
  <c r="AG28" i="7"/>
  <c r="AF28" i="7"/>
  <c r="AE12" i="9"/>
  <c r="AF12" i="9"/>
  <c r="AG12" i="9"/>
  <c r="AG29" i="10"/>
  <c r="AF29" i="10"/>
  <c r="AE29" i="10"/>
  <c r="AG34" i="7"/>
  <c r="AF34" i="7"/>
  <c r="AE34" i="7"/>
  <c r="AM4" i="10"/>
  <c r="AL4" i="10"/>
  <c r="AK4" i="10"/>
  <c r="AE6" i="10"/>
  <c r="AG6" i="10"/>
  <c r="AF6" i="10"/>
  <c r="AK23" i="11"/>
  <c r="AM23" i="11"/>
  <c r="AL23" i="11"/>
  <c r="AL38" i="8"/>
  <c r="AK38" i="8"/>
  <c r="AM38" i="8"/>
  <c r="AL15" i="7"/>
  <c r="AK15" i="7"/>
  <c r="AM15" i="7"/>
  <c r="AK21" i="8"/>
  <c r="AL21" i="8"/>
  <c r="AM21" i="8"/>
  <c r="AK19" i="11"/>
  <c r="AL19" i="11"/>
  <c r="AM19" i="11"/>
  <c r="AF18" i="7"/>
  <c r="AE18" i="7"/>
  <c r="AG18" i="7"/>
  <c r="AM10" i="10"/>
  <c r="AK10" i="10"/>
  <c r="AL10" i="10"/>
  <c r="AM12" i="8"/>
  <c r="AL12" i="8"/>
  <c r="AK12" i="8"/>
  <c r="AL16" i="6"/>
  <c r="AM16" i="6"/>
  <c r="AK16" i="6"/>
  <c r="AG13" i="7"/>
  <c r="AE13" i="7"/>
  <c r="AF13" i="7"/>
  <c r="AD26" i="16"/>
  <c r="AC26" i="16"/>
  <c r="AB26" i="16"/>
  <c r="AF37" i="10"/>
  <c r="AG37" i="10"/>
  <c r="AE37" i="10"/>
  <c r="AL5" i="10"/>
  <c r="AK5" i="10"/>
  <c r="AM5" i="10"/>
  <c r="AG37" i="7"/>
  <c r="AE37" i="7"/>
  <c r="AF37" i="7"/>
  <c r="AL32" i="9"/>
  <c r="AK32" i="9"/>
  <c r="AM32" i="9"/>
  <c r="AK37" i="10"/>
  <c r="AL37" i="10"/>
  <c r="AM37" i="10"/>
  <c r="AL31" i="8"/>
  <c r="AM31" i="8"/>
  <c r="AK31" i="8"/>
  <c r="AE35" i="7"/>
  <c r="AF35" i="7"/>
  <c r="AG35" i="7"/>
  <c r="AL28" i="9"/>
  <c r="AK28" i="9"/>
  <c r="AM28" i="9"/>
  <c r="AG16" i="5"/>
  <c r="AF16" i="5"/>
  <c r="AE16" i="5"/>
  <c r="AF31" i="7"/>
  <c r="AE31" i="7"/>
  <c r="AG31" i="7"/>
  <c r="AG25" i="10"/>
  <c r="AF25" i="10"/>
  <c r="AE25" i="10"/>
  <c r="AM18" i="8"/>
  <c r="AK18" i="8"/>
  <c r="AL18" i="8"/>
  <c r="AM33" i="11"/>
  <c r="AK33" i="11"/>
  <c r="AL33" i="11"/>
  <c r="AF11" i="8"/>
  <c r="AG11" i="8"/>
  <c r="AE11" i="8"/>
  <c r="AK41" i="10"/>
  <c r="AJ41" i="10"/>
  <c r="AL41" i="10"/>
  <c r="AF3" i="7"/>
  <c r="AF39" i="7" s="1"/>
  <c r="AG3" i="7"/>
  <c r="AG39" i="7" s="1"/>
  <c r="AE3" i="7"/>
  <c r="AE39" i="7" s="1"/>
  <c r="AD36" i="16"/>
  <c r="AB36" i="16"/>
  <c r="AC36" i="16"/>
  <c r="AK16" i="9"/>
  <c r="AL16" i="9"/>
  <c r="AM16" i="9"/>
  <c r="AF19" i="9"/>
  <c r="AE19" i="9"/>
  <c r="AG19" i="9"/>
  <c r="AF35" i="9"/>
  <c r="AE35" i="9"/>
  <c r="AG35" i="9"/>
  <c r="AE12" i="6"/>
  <c r="AG12" i="6"/>
  <c r="AF12" i="6"/>
  <c r="AE6" i="8"/>
  <c r="AG6" i="8"/>
  <c r="AF6" i="8"/>
  <c r="AE30" i="8"/>
  <c r="AG30" i="8"/>
  <c r="AF30" i="8"/>
  <c r="AL3" i="10"/>
  <c r="AL39" i="10" s="1"/>
  <c r="AM3" i="10"/>
  <c r="AM39" i="10" s="1"/>
  <c r="AK3" i="10"/>
  <c r="AK39" i="10" s="1"/>
  <c r="AM32" i="11"/>
  <c r="AK32" i="11"/>
  <c r="AL32" i="11"/>
  <c r="AM24" i="8"/>
  <c r="AK24" i="8"/>
  <c r="AL24" i="8"/>
  <c r="AF41" i="11"/>
  <c r="AD41" i="11"/>
  <c r="AE41" i="11"/>
  <c r="AM20" i="11"/>
  <c r="AK20" i="11"/>
  <c r="AL20" i="11"/>
  <c r="AG7" i="8"/>
  <c r="AF7" i="8"/>
  <c r="AE7" i="8"/>
  <c r="AD7" i="16"/>
  <c r="AC7" i="16"/>
  <c r="AB7" i="16"/>
  <c r="AF6" i="9"/>
  <c r="AE6" i="9"/>
  <c r="AG6" i="9"/>
  <c r="AK35" i="11"/>
  <c r="AM35" i="11"/>
  <c r="AL35" i="11"/>
  <c r="AG17" i="10"/>
  <c r="AE17" i="10"/>
  <c r="AF17" i="10"/>
  <c r="AK36" i="10"/>
  <c r="AM36" i="10"/>
  <c r="AL36" i="10"/>
  <c r="AR27" i="11"/>
  <c r="AR8" i="11"/>
  <c r="AR9" i="9"/>
  <c r="AR28" i="11"/>
  <c r="AR19" i="11"/>
  <c r="AR20" i="9"/>
  <c r="AR18" i="11"/>
  <c r="AR30" i="7"/>
  <c r="AM30" i="7"/>
  <c r="AL30" i="7"/>
  <c r="AK30" i="7"/>
  <c r="AF23" i="9"/>
  <c r="AE23" i="9"/>
  <c r="AG23" i="9"/>
  <c r="AM9" i="6"/>
  <c r="AL9" i="6"/>
  <c r="AK9" i="6"/>
  <c r="AE12" i="7"/>
  <c r="AG12" i="7"/>
  <c r="AF12" i="7"/>
  <c r="AL7" i="8"/>
  <c r="AK7" i="8"/>
  <c r="AM7" i="8"/>
  <c r="AM25" i="8"/>
  <c r="AK25" i="8"/>
  <c r="AL25" i="8"/>
  <c r="AG5" i="7"/>
  <c r="AE5" i="7"/>
  <c r="AF5" i="7"/>
  <c r="AD41" i="5"/>
  <c r="AF41" i="5"/>
  <c r="AE41" i="5"/>
  <c r="AM19" i="8"/>
  <c r="AL19" i="8"/>
  <c r="AK19" i="8"/>
  <c r="AE4" i="9"/>
  <c r="AG4" i="9"/>
  <c r="AF4" i="9"/>
  <c r="AK16" i="8"/>
  <c r="AL16" i="8"/>
  <c r="AM16" i="8"/>
  <c r="AE38" i="9"/>
  <c r="AF38" i="9"/>
  <c r="AG38" i="9"/>
  <c r="AL7" i="9"/>
  <c r="AK7" i="9"/>
  <c r="AM7" i="9"/>
  <c r="AF24" i="5"/>
  <c r="AG24" i="5"/>
  <c r="AE24" i="5"/>
  <c r="AL21" i="10"/>
  <c r="AM21" i="10"/>
  <c r="AK21" i="10"/>
  <c r="AG38" i="8"/>
  <c r="AE38" i="8"/>
  <c r="AF38" i="8"/>
  <c r="AG16" i="8"/>
  <c r="AF16" i="8"/>
  <c r="AE16" i="8"/>
  <c r="AF36" i="7"/>
  <c r="AG36" i="7"/>
  <c r="AE36" i="7"/>
  <c r="AG9" i="8"/>
  <c r="AF9" i="8"/>
  <c r="AE9" i="8"/>
  <c r="AF26" i="8"/>
  <c r="AG26" i="8"/>
  <c r="AE26" i="8"/>
  <c r="AM24" i="7"/>
  <c r="AK24" i="7"/>
  <c r="AL24" i="7"/>
  <c r="AM9" i="10"/>
  <c r="AK9" i="10"/>
  <c r="AL9" i="10"/>
  <c r="AK33" i="8"/>
  <c r="AM33" i="8"/>
  <c r="AL33" i="8"/>
  <c r="AL31" i="11"/>
  <c r="AM31" i="11"/>
  <c r="AK31" i="11"/>
  <c r="AE33" i="9"/>
  <c r="AF33" i="9"/>
  <c r="AG33" i="9"/>
  <c r="AG9" i="7"/>
  <c r="AE9" i="7"/>
  <c r="AF9" i="7"/>
  <c r="AK22" i="9"/>
  <c r="AL22" i="9"/>
  <c r="AM22" i="9"/>
  <c r="AF21" i="7"/>
  <c r="AE21" i="7"/>
  <c r="AG21" i="7"/>
  <c r="AL15" i="10"/>
  <c r="AM15" i="10"/>
  <c r="AK15" i="10"/>
  <c r="AK12" i="10"/>
  <c r="AM12" i="10"/>
  <c r="AL12" i="10"/>
  <c r="AM28" i="7"/>
  <c r="AK28" i="7"/>
  <c r="AL28" i="7"/>
  <c r="AM19" i="7"/>
  <c r="AK19" i="7"/>
  <c r="AL19" i="7"/>
  <c r="AE20" i="9"/>
  <c r="AG20" i="9"/>
  <c r="AF20" i="9"/>
  <c r="AM14" i="8"/>
  <c r="AK14" i="8"/>
  <c r="AL14" i="8"/>
  <c r="AD4" i="16"/>
  <c r="AB4" i="16"/>
  <c r="AC4" i="16"/>
  <c r="AF41" i="7"/>
  <c r="AE41" i="7"/>
  <c r="AD41" i="7"/>
  <c r="AK6" i="9"/>
  <c r="AL6" i="9"/>
  <c r="AM6" i="9"/>
  <c r="AF27" i="9"/>
  <c r="AE27" i="9"/>
  <c r="AG27" i="9"/>
  <c r="AJ41" i="9"/>
  <c r="AL41" i="9"/>
  <c r="AK41" i="9"/>
  <c r="AM12" i="5"/>
  <c r="AL12" i="5"/>
  <c r="AK12" i="5"/>
  <c r="AM14" i="9"/>
  <c r="AL14" i="9"/>
  <c r="AK14" i="9"/>
  <c r="AF27" i="8"/>
  <c r="AE27" i="8"/>
  <c r="AG27" i="8"/>
  <c r="AK27" i="9"/>
  <c r="AL27" i="9"/>
  <c r="AM27" i="9"/>
  <c r="AL14" i="11"/>
  <c r="AM14" i="11"/>
  <c r="AK14" i="11"/>
  <c r="AF14" i="10"/>
  <c r="AE14" i="10"/>
  <c r="AG14" i="10"/>
  <c r="AK13" i="11"/>
  <c r="AL13" i="11"/>
  <c r="AM13" i="11"/>
  <c r="AM29" i="7"/>
  <c r="AK29" i="7"/>
  <c r="AL29" i="7"/>
  <c r="AL25" i="9"/>
  <c r="AM25" i="9"/>
  <c r="AK25" i="9"/>
  <c r="AG20" i="8"/>
  <c r="AE20" i="8"/>
  <c r="AF20" i="8"/>
  <c r="AG9" i="9"/>
  <c r="AF9" i="9"/>
  <c r="AE9" i="9"/>
  <c r="AM26" i="11"/>
  <c r="AK26" i="11"/>
  <c r="AL26" i="11"/>
  <c r="AG11" i="9"/>
  <c r="AE11" i="9"/>
  <c r="AF11" i="9"/>
  <c r="AF22" i="9"/>
  <c r="AE22" i="9"/>
  <c r="AG22" i="9"/>
  <c r="AM38" i="11"/>
  <c r="AL38" i="11"/>
  <c r="AK38" i="11"/>
  <c r="AB24" i="16"/>
  <c r="AD24" i="16"/>
  <c r="AC24" i="16"/>
  <c r="AG33" i="7"/>
  <c r="AF33" i="7"/>
  <c r="AE33" i="7"/>
  <c r="AK3" i="9"/>
  <c r="AK39" i="9" s="1"/>
  <c r="AL3" i="9"/>
  <c r="AL39" i="9" s="1"/>
  <c r="AM3" i="9"/>
  <c r="AM39" i="9" s="1"/>
  <c r="AL25" i="7"/>
  <c r="AK25" i="7"/>
  <c r="AM25" i="7"/>
  <c r="AL41" i="11"/>
  <c r="AK41" i="11"/>
  <c r="AJ41" i="11"/>
  <c r="AD42" i="11"/>
  <c r="AE42" i="11"/>
  <c r="AF42" i="11"/>
  <c r="AG42" i="11" s="1"/>
  <c r="AF13" i="8"/>
  <c r="AE13" i="8"/>
  <c r="AG13" i="8"/>
  <c r="AF27" i="10"/>
  <c r="AE27" i="10"/>
  <c r="AG27" i="10"/>
  <c r="AJ42" i="7"/>
  <c r="AL42" i="7"/>
  <c r="AK42" i="7"/>
  <c r="AL3" i="7"/>
  <c r="AL39" i="7" s="1"/>
  <c r="AM3" i="7"/>
  <c r="AM39" i="7" s="1"/>
  <c r="AK3" i="7"/>
  <c r="AK39" i="7" s="1"/>
  <c r="AM8" i="10"/>
  <c r="AL8" i="10"/>
  <c r="AK8" i="10"/>
  <c r="AM23" i="10"/>
  <c r="AK23" i="10"/>
  <c r="AL23" i="10"/>
  <c r="AE15" i="9"/>
  <c r="AG15" i="9"/>
  <c r="AF15" i="9"/>
  <c r="AL11" i="11"/>
  <c r="AM11" i="11"/>
  <c r="AK11" i="11"/>
  <c r="AL31" i="7"/>
  <c r="AM31" i="7"/>
  <c r="AK31" i="7"/>
  <c r="AM7" i="10"/>
  <c r="AK7" i="10"/>
  <c r="AL7" i="10"/>
  <c r="AF9" i="10"/>
  <c r="AG9" i="10"/>
  <c r="AE9" i="10"/>
  <c r="AF36" i="5"/>
  <c r="AE36" i="5"/>
  <c r="AG36" i="5"/>
  <c r="AE15" i="8"/>
  <c r="AG15" i="8"/>
  <c r="AF15" i="8"/>
  <c r="AM22" i="11"/>
  <c r="AL22" i="11"/>
  <c r="AK22" i="11"/>
  <c r="AM24" i="10"/>
  <c r="AL24" i="10"/>
  <c r="AK24" i="10"/>
  <c r="AL35" i="7"/>
  <c r="AK35" i="7"/>
  <c r="AM35" i="7"/>
  <c r="AG35" i="8"/>
  <c r="AF35" i="8"/>
  <c r="AE35" i="8"/>
  <c r="AM12" i="9"/>
  <c r="AL12" i="9"/>
  <c r="AK12" i="9"/>
  <c r="AE22" i="5"/>
  <c r="AF22" i="5"/>
  <c r="AG22" i="5"/>
  <c r="AC13" i="16"/>
  <c r="AD13" i="16"/>
  <c r="AB13" i="16"/>
  <c r="AM24" i="9"/>
  <c r="AL24" i="9"/>
  <c r="AK24" i="9"/>
  <c r="AE27" i="7"/>
  <c r="AF27" i="7"/>
  <c r="AG27" i="7"/>
  <c r="AG10" i="7"/>
  <c r="AE10" i="7"/>
  <c r="AF10" i="7"/>
  <c r="AF3" i="9"/>
  <c r="AF39" i="9" s="1"/>
  <c r="AG3" i="9"/>
  <c r="AG39" i="9" s="1"/>
  <c r="AE3" i="9"/>
  <c r="AE39" i="9" s="1"/>
  <c r="AF4" i="10"/>
  <c r="AG4" i="10"/>
  <c r="AE4" i="10"/>
  <c r="AK13" i="10"/>
  <c r="AM13" i="10"/>
  <c r="AL13" i="10"/>
  <c r="AG16" i="10"/>
  <c r="AF16" i="10"/>
  <c r="AE16" i="10"/>
  <c r="AF35" i="10"/>
  <c r="AG35" i="10"/>
  <c r="AE35" i="10"/>
  <c r="AL8" i="6"/>
  <c r="AM8" i="6"/>
  <c r="AK8" i="6"/>
  <c r="AK19" i="9"/>
  <c r="AM19" i="9"/>
  <c r="AL19" i="9"/>
  <c r="AD11" i="16"/>
  <c r="AB11" i="16"/>
  <c r="AC11" i="16"/>
  <c r="AG16" i="7"/>
  <c r="AF16" i="7"/>
  <c r="AE16" i="7"/>
  <c r="AG23" i="8"/>
  <c r="AE23" i="8"/>
  <c r="AF23" i="8"/>
  <c r="AE15" i="7"/>
  <c r="AF15" i="7"/>
  <c r="AG15" i="7"/>
  <c r="AC29" i="16"/>
  <c r="AB29" i="16"/>
  <c r="AD29" i="16"/>
  <c r="AL36" i="6"/>
  <c r="AM36" i="6"/>
  <c r="AK36" i="6"/>
  <c r="AE12" i="8"/>
  <c r="AF12" i="8"/>
  <c r="AG12" i="8"/>
  <c r="AL18" i="10"/>
  <c r="AK18" i="10"/>
  <c r="AM18" i="10"/>
  <c r="AE15" i="10"/>
  <c r="AG15" i="10"/>
  <c r="AF15" i="10"/>
  <c r="AG32" i="5"/>
  <c r="AF32" i="5"/>
  <c r="AE32" i="5"/>
  <c r="AF31" i="10"/>
  <c r="AG31" i="10"/>
  <c r="AE31" i="10"/>
  <c r="AK4" i="11"/>
  <c r="AM4" i="11"/>
  <c r="AL4" i="11"/>
  <c r="AK25" i="5"/>
  <c r="AM25" i="5"/>
  <c r="AL25" i="5"/>
  <c r="AG5" i="8"/>
  <c r="AE5" i="8"/>
  <c r="AF5" i="8"/>
  <c r="AF25" i="7"/>
  <c r="AE25" i="7"/>
  <c r="AG25" i="7"/>
  <c r="AK6" i="7"/>
  <c r="AM6" i="7"/>
  <c r="AL6" i="7"/>
  <c r="AM5" i="11"/>
  <c r="AK5" i="11"/>
  <c r="AL5" i="11"/>
  <c r="AL17" i="9"/>
  <c r="AM17" i="9"/>
  <c r="AK17" i="9"/>
  <c r="AM23" i="8"/>
  <c r="AL23" i="8"/>
  <c r="AK23" i="8"/>
  <c r="AG7" i="10"/>
  <c r="AF7" i="10"/>
  <c r="AE7" i="10"/>
  <c r="AE18" i="10"/>
  <c r="AG18" i="10"/>
  <c r="AF18" i="10"/>
  <c r="AF3" i="8"/>
  <c r="AF39" i="8" s="1"/>
  <c r="AE3" i="8"/>
  <c r="AE39" i="8" s="1"/>
  <c r="AG3" i="8"/>
  <c r="AG39" i="8" s="1"/>
  <c r="AM34" i="7"/>
  <c r="AL34" i="7"/>
  <c r="AK34" i="7"/>
  <c r="AL13" i="8"/>
  <c r="AM13" i="8"/>
  <c r="AK13" i="8"/>
  <c r="AD21" i="16"/>
  <c r="AB21" i="16"/>
  <c r="AC21" i="16"/>
  <c r="AG30" i="10"/>
  <c r="AF30" i="10"/>
  <c r="AE30" i="10"/>
  <c r="AE28" i="5"/>
  <c r="AG28" i="5"/>
  <c r="AF28" i="5"/>
  <c r="AL4" i="8"/>
  <c r="AM4" i="8"/>
  <c r="AK4" i="8"/>
  <c r="AL8" i="9"/>
  <c r="AK8" i="9"/>
  <c r="AM8" i="9"/>
  <c r="AF41" i="8"/>
  <c r="AE41" i="8"/>
  <c r="AD41" i="8"/>
  <c r="AL34" i="10"/>
  <c r="AM34" i="10"/>
  <c r="AK34" i="10"/>
  <c r="AM16" i="7"/>
  <c r="AL16" i="7"/>
  <c r="AK16" i="7"/>
  <c r="AC10" i="16"/>
  <c r="AD10" i="16"/>
  <c r="AB10" i="16"/>
  <c r="AD41" i="10"/>
  <c r="AF41" i="10"/>
  <c r="AE41" i="10"/>
  <c r="AG41" i="10" s="1"/>
  <c r="AG25" i="9"/>
  <c r="AE25" i="9"/>
  <c r="AF25" i="9"/>
  <c r="AK32" i="7"/>
  <c r="AM32" i="7"/>
  <c r="AL32" i="7"/>
  <c r="AM29" i="8"/>
  <c r="AK29" i="8"/>
  <c r="AL29" i="8"/>
  <c r="AE26" i="10"/>
  <c r="AG26" i="10"/>
  <c r="AF26" i="10"/>
  <c r="AF19" i="8"/>
  <c r="AG19" i="8"/>
  <c r="AE19" i="8"/>
  <c r="AM11" i="10"/>
  <c r="AK11" i="10"/>
  <c r="AL11" i="10"/>
  <c r="AK20" i="7"/>
  <c r="AL20" i="7"/>
  <c r="AM20" i="7"/>
  <c r="AF25" i="8"/>
  <c r="AG25" i="8"/>
  <c r="AE25" i="8"/>
  <c r="AM28" i="11"/>
  <c r="AK28" i="11"/>
  <c r="AL28" i="11"/>
  <c r="AE42" i="7"/>
  <c r="AD42" i="7"/>
  <c r="AF42" i="7"/>
  <c r="AM21" i="7"/>
  <c r="AK21" i="7"/>
  <c r="AL21" i="7"/>
  <c r="AL10" i="9"/>
  <c r="AM10" i="9"/>
  <c r="AK10" i="9"/>
  <c r="AM15" i="11"/>
  <c r="AL15" i="11"/>
  <c r="AK15" i="11"/>
  <c r="AL29" i="10"/>
  <c r="AK29" i="10"/>
  <c r="AM29" i="10"/>
  <c r="AF10" i="8"/>
  <c r="AG10" i="8"/>
  <c r="AE10" i="8"/>
  <c r="AK37" i="11"/>
  <c r="AM37" i="11"/>
  <c r="AL37" i="11"/>
  <c r="AM13" i="9"/>
  <c r="AL13" i="9"/>
  <c r="AK13" i="9"/>
  <c r="AF33" i="8"/>
  <c r="AE33" i="8"/>
  <c r="AG33" i="8"/>
  <c r="AM38" i="7"/>
  <c r="AL38" i="7"/>
  <c r="AK38" i="7"/>
  <c r="AK17" i="7"/>
  <c r="AM17" i="7"/>
  <c r="AL17" i="7"/>
  <c r="AL36" i="11"/>
  <c r="AM36" i="11"/>
  <c r="AK36" i="11"/>
  <c r="AM14" i="10"/>
  <c r="AL14" i="10"/>
  <c r="AK14" i="10"/>
  <c r="AK36" i="8"/>
  <c r="AL36" i="8"/>
  <c r="AM36" i="8"/>
  <c r="AL38" i="9"/>
  <c r="AK38" i="9"/>
  <c r="AM38" i="9"/>
  <c r="AE24" i="7"/>
  <c r="AG24" i="7"/>
  <c r="AF24" i="7"/>
  <c r="AF24" i="10"/>
  <c r="AG24" i="10"/>
  <c r="AE24" i="10"/>
  <c r="AK41" i="8"/>
  <c r="AJ41" i="8"/>
  <c r="AL41" i="8"/>
  <c r="AM8" i="8"/>
  <c r="AL8" i="8"/>
  <c r="AK8" i="8"/>
  <c r="AK36" i="7"/>
  <c r="AM36" i="7"/>
  <c r="AL36" i="7"/>
  <c r="AK21" i="9"/>
  <c r="AM21" i="9"/>
  <c r="AL21" i="9"/>
  <c r="AF21" i="10"/>
  <c r="AG21" i="10"/>
  <c r="AE21" i="10"/>
  <c r="AL10" i="7"/>
  <c r="AK10" i="7"/>
  <c r="AM10" i="7"/>
  <c r="AG38" i="7"/>
  <c r="AF38" i="7"/>
  <c r="AE38" i="7"/>
  <c r="AF26" i="7"/>
  <c r="AE26" i="7"/>
  <c r="AG26" i="7"/>
  <c r="AF37" i="6"/>
  <c r="AE37" i="6"/>
  <c r="AG37" i="6"/>
  <c r="AG32" i="8"/>
  <c r="AE32" i="8"/>
  <c r="AF32" i="8"/>
  <c r="AL33" i="7"/>
  <c r="AM33" i="7"/>
  <c r="AK33" i="7"/>
  <c r="AK41" i="5"/>
  <c r="AJ41" i="5"/>
  <c r="AL41" i="5"/>
  <c r="AK35" i="10"/>
  <c r="AL35" i="10"/>
  <c r="AM35" i="10"/>
  <c r="AK24" i="11"/>
  <c r="AL24" i="11"/>
  <c r="AM24" i="11"/>
  <c r="AM17" i="11"/>
  <c r="AL17" i="11"/>
  <c r="AK17" i="11"/>
  <c r="AE7" i="9"/>
  <c r="AG7" i="9"/>
  <c r="AF7" i="9"/>
  <c r="AM16" i="5"/>
  <c r="AK16" i="5"/>
  <c r="AL16" i="5"/>
  <c r="AM11" i="7"/>
  <c r="AK11" i="7"/>
  <c r="AL11" i="7"/>
  <c r="AF20" i="6"/>
  <c r="AG20" i="6"/>
  <c r="AE20" i="6"/>
  <c r="AK20" i="9"/>
  <c r="AM20" i="9"/>
  <c r="AL20" i="9"/>
  <c r="AK25" i="11"/>
  <c r="AM25" i="11"/>
  <c r="AL25" i="11"/>
  <c r="AM18" i="11"/>
  <c r="AL18" i="11"/>
  <c r="AK18" i="11"/>
  <c r="AG17" i="7"/>
  <c r="AF17" i="7"/>
  <c r="AE17" i="7"/>
  <c r="AG19" i="7"/>
  <c r="AE19" i="7"/>
  <c r="AF19" i="7"/>
  <c r="AK36" i="9"/>
  <c r="AL36" i="9"/>
  <c r="AM36" i="9"/>
  <c r="AM35" i="5"/>
  <c r="AL35" i="5"/>
  <c r="AK35" i="5"/>
  <c r="AG28" i="8"/>
  <c r="AE28" i="8"/>
  <c r="AF28" i="8"/>
  <c r="AL28" i="10"/>
  <c r="AK28" i="10"/>
  <c r="AM28" i="10"/>
  <c r="AL16" i="10"/>
  <c r="AK16" i="10"/>
  <c r="AM16" i="10"/>
  <c r="AF34" i="8"/>
  <c r="AE34" i="8"/>
  <c r="AG34" i="8"/>
  <c r="AK27" i="7"/>
  <c r="AM27" i="7"/>
  <c r="AL27" i="7"/>
  <c r="AK25" i="10"/>
  <c r="AM25" i="10"/>
  <c r="AL25" i="10"/>
  <c r="AL27" i="11"/>
  <c r="AK27" i="11"/>
  <c r="AM27" i="11"/>
  <c r="AL7" i="7"/>
  <c r="AM7" i="7"/>
  <c r="AK7" i="7"/>
  <c r="AF22" i="10"/>
  <c r="AE22" i="10"/>
  <c r="AG22" i="10"/>
  <c r="AK5" i="9"/>
  <c r="AM5" i="9"/>
  <c r="AL5" i="9"/>
  <c r="AM13" i="5"/>
  <c r="AL13" i="5"/>
  <c r="AK13" i="5"/>
  <c r="AM29" i="9"/>
  <c r="AK29" i="9"/>
  <c r="AL29" i="9"/>
  <c r="AE32" i="7"/>
  <c r="AG32" i="7"/>
  <c r="AF32" i="7"/>
  <c r="AB31" i="16"/>
  <c r="AC31" i="16"/>
  <c r="AD31" i="16"/>
  <c r="AK42" i="11"/>
  <c r="AL42" i="11"/>
  <c r="AJ42" i="11"/>
  <c r="AK11" i="6"/>
  <c r="AL11" i="6"/>
  <c r="AM11" i="6"/>
  <c r="AR13" i="11"/>
  <c r="AR25" i="9"/>
  <c r="AR29" i="11"/>
  <c r="AR8" i="5"/>
  <c r="AR6" i="5"/>
  <c r="AR23" i="9"/>
  <c r="AK55" i="6"/>
  <c r="AK53" i="6"/>
  <c r="AR28" i="9"/>
  <c r="AR13" i="9"/>
  <c r="AR13" i="7"/>
  <c r="AR20" i="11"/>
  <c r="AM51" i="5"/>
  <c r="AM55" i="5"/>
  <c r="AM54" i="5"/>
  <c r="AR13" i="5"/>
  <c r="AR12" i="5"/>
  <c r="AR24" i="5"/>
  <c r="AR20" i="5"/>
  <c r="AR4" i="5"/>
  <c r="AF13" i="5"/>
  <c r="AE13" i="5"/>
  <c r="AG13" i="5"/>
  <c r="AE3" i="5"/>
  <c r="AE39" i="5" s="1"/>
  <c r="AG3" i="5"/>
  <c r="AG39" i="5" s="1"/>
  <c r="AF3" i="5"/>
  <c r="AF39" i="5" s="1"/>
  <c r="AK10" i="5"/>
  <c r="AL10" i="5"/>
  <c r="AM10" i="5"/>
  <c r="AF26" i="5"/>
  <c r="AG26" i="5"/>
  <c r="AE26" i="5"/>
  <c r="AG15" i="5"/>
  <c r="AE15" i="5"/>
  <c r="AF15" i="5"/>
  <c r="AM6" i="5"/>
  <c r="AK6" i="5"/>
  <c r="AL6" i="5"/>
  <c r="AK14" i="5"/>
  <c r="AL14" i="5"/>
  <c r="AM14" i="5"/>
  <c r="AM23" i="5"/>
  <c r="AL23" i="5"/>
  <c r="AK23" i="5"/>
  <c r="AK20" i="5"/>
  <c r="AL20" i="5"/>
  <c r="AM20" i="5"/>
  <c r="AL30" i="5"/>
  <c r="AK30" i="5"/>
  <c r="AM30" i="5"/>
  <c r="AL15" i="5"/>
  <c r="AK15" i="5"/>
  <c r="AM15" i="5"/>
  <c r="AL24" i="5"/>
  <c r="AK24" i="5"/>
  <c r="AM24" i="5"/>
  <c r="AM26" i="5"/>
  <c r="AK26" i="5"/>
  <c r="AL26" i="5"/>
  <c r="AF34" i="5"/>
  <c r="AE34" i="5"/>
  <c r="AG34" i="5"/>
  <c r="AF35" i="5"/>
  <c r="AE35" i="5"/>
  <c r="AG35" i="5"/>
  <c r="AK3" i="5"/>
  <c r="AK39" i="5" s="1"/>
  <c r="AM3" i="5"/>
  <c r="AM39" i="5" s="1"/>
  <c r="AL3" i="5"/>
  <c r="AL39" i="5" s="1"/>
  <c r="AM19" i="5"/>
  <c r="AL19" i="5"/>
  <c r="AK19" i="5"/>
  <c r="AE12" i="5"/>
  <c r="AF12" i="5"/>
  <c r="AG12" i="5"/>
  <c r="AG17" i="5"/>
  <c r="AE17" i="5"/>
  <c r="AF17" i="5"/>
  <c r="AK42" i="5"/>
  <c r="AJ42" i="5"/>
  <c r="AL42" i="5"/>
  <c r="AE8" i="5"/>
  <c r="AG8" i="5"/>
  <c r="AF8" i="5"/>
  <c r="AL28" i="5"/>
  <c r="AK28" i="5"/>
  <c r="AM28" i="5"/>
  <c r="AR7" i="5"/>
  <c r="AR16" i="5"/>
  <c r="AR3" i="5"/>
  <c r="AR24" i="6"/>
  <c r="AR25" i="6"/>
  <c r="AR15" i="6"/>
  <c r="AR29" i="6"/>
  <c r="AR22" i="6"/>
  <c r="AR3" i="6"/>
  <c r="AM32" i="6"/>
  <c r="AL32" i="6"/>
  <c r="AK32" i="6"/>
  <c r="AM31" i="6"/>
  <c r="AL31" i="6"/>
  <c r="AK31" i="6"/>
  <c r="AF29" i="6"/>
  <c r="AE29" i="6"/>
  <c r="AG29" i="6"/>
  <c r="AL27" i="6"/>
  <c r="AM27" i="6"/>
  <c r="AK27" i="6"/>
  <c r="AL29" i="6"/>
  <c r="AK29" i="6"/>
  <c r="AM29" i="6"/>
  <c r="AM23" i="6"/>
  <c r="AL23" i="6"/>
  <c r="AK23" i="6"/>
  <c r="AF14" i="6"/>
  <c r="AE14" i="6"/>
  <c r="AG14" i="6"/>
  <c r="AL12" i="6"/>
  <c r="AK12" i="6"/>
  <c r="AM12" i="6"/>
  <c r="AG34" i="6"/>
  <c r="AE34" i="6"/>
  <c r="AF34" i="6"/>
  <c r="AF18" i="6"/>
  <c r="AE18" i="6"/>
  <c r="AG18" i="6"/>
  <c r="AL24" i="6"/>
  <c r="AM24" i="6"/>
  <c r="AK24" i="6"/>
  <c r="AM22" i="6"/>
  <c r="AL22" i="6"/>
  <c r="AK22" i="6"/>
  <c r="AK13" i="6"/>
  <c r="AM13" i="6"/>
  <c r="AL13" i="6"/>
  <c r="AE21" i="6"/>
  <c r="AF21" i="6"/>
  <c r="AG21" i="6"/>
  <c r="AF4" i="6"/>
  <c r="AG4" i="6"/>
  <c r="AE4" i="6"/>
  <c r="AG16" i="6"/>
  <c r="AF16" i="6"/>
  <c r="AE16" i="6"/>
  <c r="AL42" i="6"/>
  <c r="AK42" i="6"/>
  <c r="AJ42" i="6"/>
  <c r="AF7" i="6"/>
  <c r="AE7" i="6"/>
  <c r="AG7" i="6"/>
  <c r="AK10" i="6"/>
  <c r="AM10" i="6"/>
  <c r="AL10" i="6"/>
  <c r="AE24" i="6"/>
  <c r="AF24" i="6"/>
  <c r="AG24" i="6"/>
  <c r="AR13" i="6"/>
  <c r="AR7" i="6"/>
  <c r="AR8" i="6"/>
  <c r="AR5" i="6"/>
  <c r="AR10" i="6"/>
  <c r="AR12" i="6"/>
  <c r="AK37" i="6"/>
  <c r="AM37" i="6"/>
  <c r="AL37" i="6"/>
  <c r="AE13" i="6"/>
  <c r="AG13" i="6"/>
  <c r="AF13" i="6"/>
  <c r="AF15" i="6"/>
  <c r="AE15" i="6"/>
  <c r="AG15" i="6"/>
  <c r="AF25" i="6"/>
  <c r="AG25" i="6"/>
  <c r="AE25" i="6"/>
  <c r="AE19" i="6"/>
  <c r="AG19" i="6"/>
  <c r="AF19" i="6"/>
  <c r="AL6" i="6"/>
  <c r="AM6" i="6"/>
  <c r="AK6" i="6"/>
  <c r="AE28" i="6"/>
  <c r="AG28" i="6"/>
  <c r="AF28" i="6"/>
  <c r="AE33" i="5"/>
  <c r="AG33" i="5"/>
  <c r="AF33" i="5"/>
  <c r="AE37" i="5"/>
  <c r="AG37" i="5"/>
  <c r="AF37" i="5"/>
  <c r="AF38" i="6"/>
  <c r="AE38" i="6"/>
  <c r="AG38" i="6"/>
  <c r="AK17" i="6"/>
  <c r="AL17" i="6"/>
  <c r="AM17" i="6"/>
  <c r="AG30" i="6"/>
  <c r="AF30" i="6"/>
  <c r="AE30" i="6"/>
  <c r="AK7" i="5"/>
  <c r="AM7" i="5"/>
  <c r="AL7" i="5"/>
  <c r="AK29" i="5"/>
  <c r="AL29" i="5"/>
  <c r="AM29" i="5"/>
  <c r="AF42" i="5"/>
  <c r="AE42" i="5"/>
  <c r="AD42" i="5"/>
  <c r="AL34" i="5"/>
  <c r="AM34" i="5"/>
  <c r="AK34" i="5"/>
  <c r="AM5" i="5"/>
  <c r="AL5" i="5"/>
  <c r="AK5" i="5"/>
  <c r="AE21" i="5"/>
  <c r="AG21" i="5"/>
  <c r="AF21" i="5"/>
  <c r="AD17" i="16"/>
  <c r="AC17" i="16"/>
  <c r="AB17" i="16"/>
  <c r="AK32" i="5"/>
  <c r="AM32" i="5"/>
  <c r="AL32" i="5"/>
  <c r="AC19" i="16"/>
  <c r="AB19" i="16"/>
  <c r="AD19" i="16"/>
  <c r="AK9" i="5"/>
  <c r="AL9" i="5"/>
  <c r="AM9" i="5"/>
  <c r="AK11" i="5"/>
  <c r="AM11" i="5"/>
  <c r="AL11" i="5"/>
  <c r="AE14" i="5"/>
  <c r="AF14" i="5"/>
  <c r="AG14" i="5"/>
  <c r="AC14" i="16"/>
  <c r="AB14" i="16"/>
  <c r="AD14" i="16"/>
  <c r="AJ41" i="6"/>
  <c r="AL41" i="6"/>
  <c r="AK41" i="6"/>
  <c r="AD38" i="16"/>
  <c r="AB38" i="16"/>
  <c r="AC38" i="16"/>
  <c r="AF3" i="6"/>
  <c r="AF39" i="6" s="1"/>
  <c r="AE3" i="6"/>
  <c r="AE39" i="6" s="1"/>
  <c r="AG3" i="6"/>
  <c r="AG39" i="6" s="1"/>
  <c r="AG25" i="5"/>
  <c r="AF25" i="5"/>
  <c r="AE25" i="5"/>
  <c r="AD9" i="16"/>
  <c r="AC9" i="16"/>
  <c r="AB9" i="16"/>
  <c r="AK33" i="5"/>
  <c r="AM33" i="5"/>
  <c r="AL33" i="5"/>
  <c r="AK4" i="6"/>
  <c r="AM4" i="6"/>
  <c r="AL4" i="6"/>
  <c r="AB35" i="16"/>
  <c r="AD35" i="16"/>
  <c r="AC35" i="16"/>
  <c r="AK17" i="5"/>
  <c r="AM17" i="5"/>
  <c r="AL17" i="5"/>
  <c r="AF27" i="6"/>
  <c r="AE27" i="6"/>
  <c r="AG27" i="6"/>
  <c r="AG6" i="5"/>
  <c r="AE6" i="5"/>
  <c r="AF6" i="5"/>
  <c r="AC30" i="16"/>
  <c r="AD30" i="16"/>
  <c r="AB30" i="16"/>
  <c r="AD6" i="16"/>
  <c r="AB6" i="16"/>
  <c r="AC6" i="16"/>
  <c r="AE36" i="6"/>
  <c r="AF36" i="6"/>
  <c r="AG36" i="6"/>
  <c r="AK3" i="6"/>
  <c r="AK39" i="6" s="1"/>
  <c r="AM3" i="6"/>
  <c r="AM39" i="6" s="1"/>
  <c r="AL3" i="6"/>
  <c r="AL39" i="6" s="1"/>
  <c r="AM37" i="5"/>
  <c r="AL37" i="5"/>
  <c r="AK37" i="5"/>
  <c r="AE23" i="6"/>
  <c r="AF23" i="6"/>
  <c r="AG23" i="6"/>
  <c r="AG23" i="5"/>
  <c r="AF23" i="5"/>
  <c r="AE23" i="5"/>
  <c r="AK25" i="6"/>
  <c r="AM25" i="6"/>
  <c r="AL25" i="6"/>
  <c r="AK20" i="6"/>
  <c r="AM20" i="6"/>
  <c r="AL20" i="6"/>
  <c r="AF10" i="5"/>
  <c r="AG10" i="5"/>
  <c r="AE10" i="5"/>
  <c r="AC20" i="16"/>
  <c r="AB20" i="16"/>
  <c r="AD20" i="16"/>
  <c r="AG18" i="5"/>
  <c r="AF18" i="5"/>
  <c r="AE18" i="5"/>
  <c r="AG4" i="5"/>
  <c r="AF4" i="5"/>
  <c r="AE4" i="5"/>
  <c r="AM7" i="6"/>
  <c r="AL7" i="6"/>
  <c r="AK7" i="6"/>
  <c r="AL4" i="5"/>
  <c r="AK4" i="5"/>
  <c r="AM4" i="5"/>
  <c r="AE26" i="6"/>
  <c r="AF26" i="6"/>
  <c r="AG26" i="6"/>
  <c r="AG38" i="5"/>
  <c r="AE38" i="5"/>
  <c r="AF38" i="5"/>
  <c r="AF35" i="6"/>
  <c r="AE35" i="6"/>
  <c r="AG35" i="6"/>
  <c r="AM28" i="6"/>
  <c r="AK28" i="6"/>
  <c r="AL28" i="6"/>
  <c r="AG30" i="5"/>
  <c r="AF30" i="5"/>
  <c r="AE30" i="5"/>
  <c r="AG9" i="6"/>
  <c r="AE9" i="6"/>
  <c r="AF9" i="6"/>
  <c r="AE8" i="9"/>
  <c r="AG8" i="9"/>
  <c r="AF8" i="9"/>
  <c r="AK21" i="6"/>
  <c r="AL21" i="6"/>
  <c r="AM21" i="6"/>
  <c r="AG33" i="6"/>
  <c r="AF33" i="6"/>
  <c r="AE33" i="6"/>
  <c r="AM3" i="11"/>
  <c r="AM39" i="11" s="1"/>
  <c r="AK3" i="11"/>
  <c r="AK39" i="11" s="1"/>
  <c r="AL3" i="11"/>
  <c r="AL39" i="11" s="1"/>
  <c r="AJ41" i="7"/>
  <c r="AK41" i="7"/>
  <c r="AM41" i="7" s="1"/>
  <c r="AL41" i="7"/>
  <c r="AD8" i="16"/>
  <c r="AC8" i="16"/>
  <c r="AB8" i="16"/>
  <c r="AD18" i="16"/>
  <c r="AC18" i="16"/>
  <c r="AB18" i="16"/>
  <c r="AG11" i="6"/>
  <c r="AE11" i="6"/>
  <c r="AF11" i="6"/>
  <c r="AM33" i="6"/>
  <c r="AL33" i="6"/>
  <c r="AK33" i="6"/>
  <c r="AF31" i="6"/>
  <c r="AE31" i="6"/>
  <c r="AG31" i="6"/>
  <c r="AF5" i="6"/>
  <c r="AE5" i="6"/>
  <c r="AG5" i="6"/>
  <c r="AK15" i="8"/>
  <c r="AM15" i="8"/>
  <c r="AL15" i="8"/>
  <c r="AM21" i="5"/>
  <c r="AL21" i="5"/>
  <c r="AK21" i="5"/>
  <c r="AD27" i="16"/>
  <c r="AC27" i="16"/>
  <c r="AB27" i="16"/>
  <c r="AC25" i="16"/>
  <c r="AD25" i="16"/>
  <c r="AB25" i="16"/>
  <c r="AF17" i="6"/>
  <c r="AG17" i="6"/>
  <c r="AE17" i="6"/>
  <c r="AF20" i="5"/>
  <c r="AE20" i="5"/>
  <c r="AG20" i="5"/>
  <c r="AF5" i="5"/>
  <c r="AE5" i="5"/>
  <c r="AG5" i="5"/>
  <c r="AL19" i="6"/>
  <c r="AK19" i="6"/>
  <c r="AM19" i="6"/>
  <c r="AC3" i="16"/>
  <c r="AC39" i="16" s="1"/>
  <c r="AB3" i="16"/>
  <c r="AB39" i="16" s="1"/>
  <c r="AD3" i="16"/>
  <c r="AD39" i="16" s="1"/>
  <c r="AD42" i="6"/>
  <c r="AF42" i="6"/>
  <c r="AE42" i="6"/>
  <c r="AB5" i="16"/>
  <c r="AD5" i="16"/>
  <c r="AC5" i="16"/>
  <c r="AE9" i="5"/>
  <c r="AF9" i="5"/>
  <c r="AG9" i="5"/>
  <c r="AR28" i="7"/>
  <c r="AR4" i="9"/>
  <c r="AR21" i="8"/>
  <c r="AR27" i="10"/>
  <c r="AR18" i="8"/>
  <c r="AR30" i="8"/>
  <c r="AR6" i="11"/>
  <c r="AR7" i="11"/>
  <c r="AR19" i="8"/>
  <c r="AR15" i="5"/>
  <c r="AR3" i="10"/>
  <c r="AR11" i="10"/>
  <c r="AR12" i="8"/>
  <c r="AR20" i="6"/>
  <c r="AR28" i="10"/>
  <c r="AR26" i="8"/>
  <c r="AR5" i="9"/>
  <c r="AR7" i="9"/>
  <c r="AR29" i="8"/>
  <c r="AR4" i="7"/>
  <c r="AR6" i="6"/>
  <c r="AR8" i="9"/>
  <c r="AR15" i="9"/>
  <c r="AR15" i="8"/>
  <c r="AR21" i="6"/>
  <c r="AR30" i="6"/>
  <c r="AR6" i="9"/>
  <c r="AR19" i="9"/>
  <c r="AR17" i="11"/>
  <c r="AR18" i="7"/>
  <c r="AR14" i="10"/>
  <c r="AR16" i="9"/>
  <c r="AR9" i="8"/>
  <c r="AR8" i="7"/>
  <c r="AR21" i="11"/>
  <c r="AR16" i="10"/>
  <c r="AR15" i="11"/>
  <c r="AR30" i="5"/>
  <c r="AR25" i="5"/>
  <c r="AR3" i="7"/>
  <c r="AR20" i="10"/>
  <c r="AR26" i="9"/>
  <c r="AR22" i="7"/>
  <c r="AR8" i="10"/>
  <c r="AR9" i="10"/>
  <c r="AR6" i="8"/>
  <c r="AR11" i="11"/>
  <c r="AR5" i="11"/>
  <c r="AR27" i="9"/>
  <c r="AR29" i="5"/>
  <c r="AR17" i="8"/>
  <c r="AR7" i="7"/>
  <c r="AR10" i="7"/>
  <c r="AR18" i="9"/>
  <c r="AR26" i="5"/>
  <c r="AR28" i="8"/>
  <c r="AR27" i="8"/>
  <c r="AR14" i="5"/>
  <c r="AR7" i="10"/>
  <c r="AR15" i="10"/>
  <c r="AR12" i="10"/>
  <c r="AR14" i="6"/>
  <c r="AR26" i="6"/>
  <c r="AR10" i="10"/>
  <c r="AR3" i="8"/>
  <c r="AR10" i="11"/>
  <c r="AR22" i="9"/>
  <c r="AR17" i="9"/>
  <c r="AR23" i="5"/>
  <c r="AR28" i="5"/>
  <c r="AR24" i="8"/>
  <c r="AR11" i="7"/>
  <c r="AK30" i="6"/>
  <c r="AL30" i="6"/>
  <c r="AM30" i="6"/>
  <c r="AR17" i="6"/>
  <c r="AR9" i="6"/>
  <c r="AR17" i="5"/>
  <c r="AR5" i="5"/>
  <c r="AR21" i="5"/>
  <c r="AR18" i="5"/>
  <c r="AR22" i="5"/>
  <c r="AR10" i="5"/>
  <c r="AR22" i="10"/>
  <c r="AR19" i="10"/>
  <c r="AR19" i="7"/>
  <c r="AR16" i="7"/>
  <c r="AR15" i="7"/>
  <c r="AR14" i="7"/>
  <c r="AR17" i="7"/>
  <c r="AR24" i="7"/>
  <c r="AR25" i="8"/>
  <c r="AR22" i="8"/>
  <c r="AR18" i="6"/>
  <c r="AR26" i="10"/>
  <c r="AR9" i="5"/>
  <c r="AR23" i="11"/>
  <c r="AR23" i="7"/>
  <c r="AR23" i="10"/>
  <c r="AR12" i="11"/>
  <c r="AR16" i="11"/>
  <c r="AR24" i="9"/>
  <c r="AR19" i="5"/>
  <c r="AR27" i="5"/>
  <c r="AR22" i="11"/>
  <c r="AR5" i="10"/>
  <c r="AR10" i="8"/>
  <c r="AR27" i="6"/>
  <c r="AR19" i="6"/>
  <c r="AR9" i="11"/>
  <c r="AR6" i="7"/>
  <c r="AR20" i="7"/>
  <c r="AR11" i="5"/>
  <c r="AR3" i="9"/>
  <c r="AR12" i="9"/>
  <c r="AR23" i="6"/>
  <c r="AR11" i="9"/>
  <c r="AR21" i="10"/>
  <c r="AR29" i="9"/>
  <c r="AR21" i="7"/>
  <c r="AR16" i="6"/>
  <c r="AR12" i="7"/>
  <c r="AR24" i="11"/>
  <c r="AR26" i="11"/>
  <c r="AR4" i="6"/>
  <c r="AG23" i="11"/>
  <c r="AF23" i="11"/>
  <c r="AE23" i="11"/>
  <c r="AF18" i="11"/>
  <c r="AE18" i="11"/>
  <c r="AG18" i="11"/>
  <c r="AE27" i="11"/>
  <c r="AF27" i="11"/>
  <c r="AG27" i="11"/>
  <c r="AE22" i="11"/>
  <c r="AF22" i="11"/>
  <c r="AG22" i="11"/>
  <c r="AG12" i="11"/>
  <c r="AE12" i="11"/>
  <c r="AF12" i="11"/>
  <c r="AF9" i="11"/>
  <c r="AE9" i="11"/>
  <c r="AG9" i="11"/>
  <c r="AE28" i="11"/>
  <c r="AG28" i="11"/>
  <c r="AF28" i="11"/>
  <c r="AE32" i="11"/>
  <c r="AG32" i="11"/>
  <c r="AF32" i="11"/>
  <c r="AE6" i="6"/>
  <c r="AG6" i="6"/>
  <c r="AF6" i="6"/>
  <c r="AF33" i="11"/>
  <c r="AE33" i="11"/>
  <c r="AG33" i="11"/>
  <c r="AG8" i="11"/>
  <c r="AF8" i="11"/>
  <c r="AE8" i="11"/>
  <c r="AF3" i="11"/>
  <c r="AF39" i="11" s="1"/>
  <c r="AG3" i="11"/>
  <c r="AG39" i="11" s="1"/>
  <c r="AE3" i="11"/>
  <c r="AE39" i="11" s="1"/>
  <c r="AE31" i="11"/>
  <c r="AG31" i="11"/>
  <c r="AF31" i="11"/>
  <c r="AF36" i="11"/>
  <c r="AG36" i="11"/>
  <c r="AE36" i="11"/>
  <c r="AE10" i="11"/>
  <c r="AG10" i="11"/>
  <c r="AF10" i="11"/>
  <c r="AF20" i="11"/>
  <c r="AE20" i="11"/>
  <c r="AG20" i="11"/>
  <c r="X9" i="7"/>
  <c r="X11" i="7"/>
  <c r="X10" i="7"/>
  <c r="AE7" i="11"/>
  <c r="AF7" i="11"/>
  <c r="AG7" i="11"/>
  <c r="X9" i="10"/>
  <c r="X11" i="10"/>
  <c r="X10" i="10"/>
  <c r="AG11" i="11"/>
  <c r="AE11" i="11"/>
  <c r="AF11" i="11"/>
  <c r="X11" i="5"/>
  <c r="X9" i="5"/>
  <c r="X10" i="5"/>
  <c r="AF34" i="11"/>
  <c r="AE34" i="11"/>
  <c r="AG34" i="11"/>
  <c r="AE17" i="11"/>
  <c r="AF17" i="11"/>
  <c r="AG17" i="11"/>
  <c r="AG13" i="11"/>
  <c r="AF13" i="11"/>
  <c r="AE13" i="11"/>
  <c r="X10" i="8"/>
  <c r="X9" i="8"/>
  <c r="X11" i="8"/>
  <c r="AG16" i="11"/>
  <c r="AF16" i="11"/>
  <c r="AE16" i="11"/>
  <c r="AG14" i="11"/>
  <c r="AE14" i="11"/>
  <c r="AF14" i="11"/>
  <c r="AF6" i="11"/>
  <c r="AE6" i="11"/>
  <c r="AG6" i="11"/>
  <c r="AL14" i="6"/>
  <c r="AK14" i="6"/>
  <c r="AM14" i="6"/>
  <c r="X11" i="6"/>
  <c r="X10" i="6"/>
  <c r="X9" i="6"/>
  <c r="AE29" i="11"/>
  <c r="AF29" i="11"/>
  <c r="AG29" i="11"/>
  <c r="AF22" i="8"/>
  <c r="AG22" i="8"/>
  <c r="AE22" i="8"/>
  <c r="AF4" i="11"/>
  <c r="AE4" i="11"/>
  <c r="AG4" i="11"/>
  <c r="AE19" i="11"/>
  <c r="AF19" i="11"/>
  <c r="AG19" i="11"/>
  <c r="AG30" i="11"/>
  <c r="AF30" i="11"/>
  <c r="AE30" i="11"/>
  <c r="X11" i="11"/>
  <c r="X10" i="11"/>
  <c r="X9" i="11"/>
  <c r="AF35" i="11"/>
  <c r="AE35" i="11"/>
  <c r="AG35" i="11"/>
  <c r="AE37" i="11"/>
  <c r="AF37" i="11"/>
  <c r="AG37" i="11"/>
  <c r="AG5" i="11"/>
  <c r="AE5" i="11"/>
  <c r="AF5" i="11"/>
  <c r="X9" i="9"/>
  <c r="X11" i="9"/>
  <c r="X10" i="9"/>
  <c r="AE26" i="11"/>
  <c r="AG26" i="11"/>
  <c r="AF26" i="11"/>
  <c r="AG15" i="11"/>
  <c r="AE15" i="11"/>
  <c r="AF15" i="11"/>
  <c r="AF25" i="11"/>
  <c r="AE25" i="11"/>
  <c r="AG25" i="11"/>
  <c r="AE38" i="11"/>
  <c r="AG38" i="11"/>
  <c r="AF38" i="11"/>
  <c r="AG24" i="11"/>
  <c r="AE24" i="11"/>
  <c r="AF24" i="11"/>
  <c r="AF21" i="11"/>
  <c r="AG21" i="11"/>
  <c r="AE21" i="11"/>
  <c r="AR30" i="9"/>
  <c r="AD39" i="11"/>
  <c r="AR21" i="9"/>
  <c r="AR4" i="10"/>
  <c r="AR28" i="6"/>
  <c r="AR20" i="8"/>
  <c r="AG41" i="9"/>
  <c r="AM41" i="8"/>
  <c r="AM41" i="5"/>
  <c r="AG42" i="7"/>
  <c r="AG42" i="8"/>
  <c r="AM42" i="11"/>
  <c r="AG42" i="10"/>
  <c r="AG41" i="11"/>
  <c r="AM41" i="9"/>
  <c r="AM42" i="9"/>
  <c r="AM41" i="11"/>
  <c r="AG41" i="8"/>
  <c r="AD41" i="16"/>
  <c r="AG41" i="6"/>
  <c r="AG42" i="9"/>
  <c r="AM42" i="7"/>
  <c r="AM42" i="8"/>
  <c r="AG41" i="7"/>
  <c r="AD58" i="16"/>
  <c r="AD68" i="16"/>
  <c r="AD50" i="16"/>
  <c r="AM41" i="10"/>
  <c r="AM42" i="10"/>
  <c r="AD47" i="16"/>
  <c r="AD45" i="16"/>
  <c r="AD63" i="16"/>
  <c r="AD69" i="16"/>
  <c r="AD66" i="16"/>
  <c r="AD56" i="16"/>
  <c r="AD48" i="16"/>
  <c r="AD70" i="16"/>
  <c r="AD60" i="16"/>
  <c r="AD71" i="16"/>
  <c r="AD61" i="16"/>
  <c r="AD52" i="16"/>
  <c r="AD65" i="16"/>
  <c r="AD49" i="16"/>
  <c r="AD57" i="16"/>
  <c r="AD59" i="16"/>
  <c r="AD54" i="16"/>
  <c r="AD62" i="16"/>
  <c r="AD55" i="16"/>
  <c r="AD64" i="16"/>
  <c r="AD53" i="16"/>
  <c r="AD72" i="16"/>
  <c r="AD51" i="16"/>
  <c r="AD46" i="16"/>
  <c r="X14" i="11"/>
  <c r="X13" i="11"/>
  <c r="X12" i="11"/>
  <c r="X14" i="10"/>
  <c r="X13" i="10"/>
  <c r="X12" i="10"/>
  <c r="X14" i="5"/>
  <c r="X12" i="5"/>
  <c r="X13" i="5"/>
  <c r="AF47" i="4"/>
  <c r="AG47" i="4" s="1"/>
  <c r="AI47" i="4" s="1"/>
  <c r="AE57" i="4"/>
  <c r="AF57" i="4" s="1"/>
  <c r="AG57" i="4" s="1"/>
  <c r="AI57" i="4" s="1"/>
  <c r="AE60" i="4"/>
  <c r="AF60" i="4" s="1"/>
  <c r="AG60" i="4" s="1"/>
  <c r="AH60" i="4" s="1"/>
  <c r="AE50" i="4"/>
  <c r="AF50" i="4" s="1"/>
  <c r="AG50" i="4" s="1"/>
  <c r="AI50" i="4" s="1"/>
  <c r="AE59" i="4"/>
  <c r="AF59" i="4" s="1"/>
  <c r="AG59" i="4" s="1"/>
  <c r="AI59" i="4" s="1"/>
  <c r="AE53" i="4"/>
  <c r="AF53" i="4" s="1"/>
  <c r="AG53" i="4" s="1"/>
  <c r="AE48" i="4"/>
  <c r="AF48" i="4" s="1"/>
  <c r="AG48" i="4" s="1"/>
  <c r="AE46" i="4"/>
  <c r="AF46" i="4" s="1"/>
  <c r="AG46" i="4" s="1"/>
  <c r="AE55" i="4"/>
  <c r="AF55" i="4" s="1"/>
  <c r="AG55" i="4" s="1"/>
  <c r="AE49" i="4"/>
  <c r="AF49" i="4" s="1"/>
  <c r="AG49" i="4" s="1"/>
  <c r="AE58" i="4"/>
  <c r="AF58" i="4" s="1"/>
  <c r="AG58" i="4" s="1"/>
  <c r="AE56" i="4"/>
  <c r="AF56" i="4" s="1"/>
  <c r="AG56" i="4" s="1"/>
  <c r="AE51" i="4"/>
  <c r="AF51" i="4" s="1"/>
  <c r="AG51" i="4" s="1"/>
  <c r="AE45" i="4"/>
  <c r="AF45" i="4" s="1"/>
  <c r="AG45" i="4" s="1"/>
  <c r="AE54" i="4"/>
  <c r="AF54" i="4" s="1"/>
  <c r="AG54" i="4" s="1"/>
  <c r="AE52" i="4"/>
  <c r="AF52" i="4" s="1"/>
  <c r="AG52" i="4" s="1"/>
  <c r="H45" i="4"/>
  <c r="H47" i="4"/>
  <c r="H49" i="4"/>
  <c r="H51" i="4"/>
  <c r="H53" i="4"/>
  <c r="H55" i="4"/>
  <c r="H57" i="4"/>
  <c r="H59" i="4"/>
  <c r="H61" i="4"/>
  <c r="H63" i="4"/>
  <c r="H65" i="4"/>
  <c r="H67" i="4"/>
  <c r="H69" i="4"/>
  <c r="H71" i="4"/>
  <c r="I45" i="4"/>
  <c r="I47" i="4"/>
  <c r="I49" i="4"/>
  <c r="I51" i="4"/>
  <c r="I53" i="4"/>
  <c r="I55" i="4"/>
  <c r="I57" i="4"/>
  <c r="I59" i="4"/>
  <c r="I61" i="4"/>
  <c r="I63" i="4"/>
  <c r="I65" i="4"/>
  <c r="I67" i="4"/>
  <c r="I69" i="4"/>
  <c r="I71" i="4"/>
  <c r="I46" i="4"/>
  <c r="I48" i="4"/>
  <c r="I50" i="4"/>
  <c r="I52" i="4"/>
  <c r="I54" i="4"/>
  <c r="I56" i="4"/>
  <c r="I58" i="4"/>
  <c r="I60" i="4"/>
  <c r="I62" i="4"/>
  <c r="I64" i="4"/>
  <c r="I66" i="4"/>
  <c r="I68" i="4"/>
  <c r="I70" i="4"/>
  <c r="I72" i="4"/>
  <c r="H46" i="4"/>
  <c r="H48" i="4"/>
  <c r="H50" i="4"/>
  <c r="H52" i="4"/>
  <c r="H54" i="4"/>
  <c r="H56" i="4"/>
  <c r="H58" i="4"/>
  <c r="H60" i="4"/>
  <c r="H62" i="4"/>
  <c r="H64" i="4"/>
  <c r="H66" i="4"/>
  <c r="H68" i="4"/>
  <c r="H70" i="4"/>
  <c r="H72" i="4"/>
  <c r="L4" i="4"/>
  <c r="M4" i="4"/>
  <c r="M14" i="4" s="1"/>
  <c r="X12" i="8" a="1"/>
  <c r="X12" i="9" a="1"/>
  <c r="X12" i="7" a="1"/>
  <c r="X12" i="6" a="1"/>
  <c r="I4" i="8" a="1"/>
  <c r="I4" i="11" a="1"/>
  <c r="I4" i="9" a="1"/>
  <c r="I4" i="7" a="1"/>
  <c r="AG41" i="5" l="1"/>
  <c r="AA10" i="10"/>
  <c r="AG42" i="5"/>
  <c r="AM42" i="5"/>
  <c r="AM42" i="6"/>
  <c r="AM41" i="6"/>
  <c r="AG42" i="6"/>
  <c r="X12" i="7"/>
  <c r="AA10" i="7" s="1"/>
  <c r="X14" i="7"/>
  <c r="X13" i="7"/>
  <c r="X14" i="8"/>
  <c r="X13" i="8"/>
  <c r="X12" i="8"/>
  <c r="AA10" i="8" s="1"/>
  <c r="X13" i="9"/>
  <c r="X12" i="9"/>
  <c r="AA10" i="9" s="1"/>
  <c r="X14" i="9"/>
  <c r="X13" i="6"/>
  <c r="X12" i="6"/>
  <c r="AA10" i="6" s="1"/>
  <c r="X14" i="6"/>
  <c r="AA10" i="5"/>
  <c r="AA10" i="11"/>
  <c r="X16" i="16"/>
  <c r="X17" i="16" s="1"/>
  <c r="X15" i="10"/>
  <c r="Z72" i="10" s="1"/>
  <c r="X15" i="5"/>
  <c r="X16" i="11"/>
  <c r="X15" i="11"/>
  <c r="X16" i="5"/>
  <c r="X16" i="10"/>
  <c r="AI60" i="4"/>
  <c r="AH47" i="4"/>
  <c r="AH50" i="4"/>
  <c r="AH57" i="4"/>
  <c r="AH59" i="4"/>
  <c r="AH54" i="4"/>
  <c r="AI54" i="4"/>
  <c r="AH58" i="4"/>
  <c r="AI58" i="4"/>
  <c r="AI55" i="4"/>
  <c r="AH55" i="4"/>
  <c r="AH45" i="4"/>
  <c r="AI45" i="4"/>
  <c r="AH49" i="4"/>
  <c r="AI49" i="4"/>
  <c r="AH46" i="4"/>
  <c r="AI46" i="4"/>
  <c r="AI51" i="4"/>
  <c r="AH51" i="4"/>
  <c r="AI48" i="4"/>
  <c r="AH48" i="4"/>
  <c r="AH52" i="4"/>
  <c r="AI52" i="4"/>
  <c r="AI56" i="4"/>
  <c r="AH56" i="4"/>
  <c r="AH53" i="4"/>
  <c r="AI53" i="4"/>
  <c r="K48" i="4"/>
  <c r="J66" i="4"/>
  <c r="K66" i="4"/>
  <c r="K67" i="4"/>
  <c r="J67" i="4"/>
  <c r="K72" i="4"/>
  <c r="J72" i="4"/>
  <c r="K70" i="4"/>
  <c r="J70" i="4"/>
  <c r="K71" i="4"/>
  <c r="J71" i="4"/>
  <c r="K68" i="4"/>
  <c r="J68" i="4"/>
  <c r="K69" i="4"/>
  <c r="J69" i="4"/>
  <c r="K60" i="4"/>
  <c r="J60" i="4"/>
  <c r="J52" i="4"/>
  <c r="K52" i="4"/>
  <c r="J65" i="4"/>
  <c r="K65" i="4"/>
  <c r="J57" i="4"/>
  <c r="K57" i="4"/>
  <c r="J58" i="4"/>
  <c r="K58" i="4"/>
  <c r="J63" i="4"/>
  <c r="K63" i="4"/>
  <c r="J55" i="4"/>
  <c r="K55" i="4"/>
  <c r="J64" i="4"/>
  <c r="K64" i="4"/>
  <c r="K56" i="4"/>
  <c r="J56" i="4"/>
  <c r="J61" i="4"/>
  <c r="K61" i="4"/>
  <c r="J53" i="4"/>
  <c r="K53" i="4"/>
  <c r="K62" i="4"/>
  <c r="J62" i="4"/>
  <c r="K54" i="4"/>
  <c r="J54" i="4"/>
  <c r="J59" i="4"/>
  <c r="K59" i="4"/>
  <c r="J51" i="4"/>
  <c r="K51" i="4"/>
  <c r="K50" i="4"/>
  <c r="K45" i="4"/>
  <c r="J47" i="4"/>
  <c r="K49" i="4"/>
  <c r="J46" i="4"/>
  <c r="K46" i="4"/>
  <c r="J48" i="4"/>
  <c r="K47" i="4"/>
  <c r="J45" i="4"/>
  <c r="J49" i="4"/>
  <c r="J50" i="4"/>
  <c r="AA5" i="4"/>
  <c r="AA6" i="4" s="1"/>
  <c r="X17" i="7"/>
  <c r="J4" i="11"/>
  <c r="K4" i="11"/>
  <c r="I4" i="11"/>
  <c r="J4" i="8"/>
  <c r="K4" i="8"/>
  <c r="I4" i="8"/>
  <c r="K4" i="7"/>
  <c r="I4" i="7"/>
  <c r="J4" i="7"/>
  <c r="J5" i="4"/>
  <c r="J14" i="4" s="1"/>
  <c r="I5" i="4"/>
  <c r="I14" i="4" s="1"/>
  <c r="K5" i="4"/>
  <c r="K14" i="4" s="1"/>
  <c r="K4" i="9"/>
  <c r="J4" i="9"/>
  <c r="I4" i="9"/>
  <c r="AA11" i="4" a="1"/>
  <c r="X15" i="7" l="1"/>
  <c r="C47" i="7" s="1"/>
  <c r="X15" i="6"/>
  <c r="Z52" i="6" s="1"/>
  <c r="X16" i="6"/>
  <c r="AA60" i="6" s="1"/>
  <c r="X15" i="8"/>
  <c r="C49" i="8" s="1"/>
  <c r="X15" i="9"/>
  <c r="Z67" i="9" s="1"/>
  <c r="X16" i="7"/>
  <c r="D48" i="7" s="1"/>
  <c r="X16" i="8"/>
  <c r="D49" i="8" s="1"/>
  <c r="X16" i="9"/>
  <c r="AA71" i="9" s="1"/>
  <c r="Z63" i="10"/>
  <c r="X18" i="16"/>
  <c r="C49" i="10"/>
  <c r="C47" i="10"/>
  <c r="Z70" i="10"/>
  <c r="Z56" i="10"/>
  <c r="Z48" i="10"/>
  <c r="Z47" i="10"/>
  <c r="C45" i="10"/>
  <c r="Z67" i="10"/>
  <c r="Z58" i="10"/>
  <c r="Z62" i="10"/>
  <c r="Z61" i="10"/>
  <c r="Z71" i="10"/>
  <c r="Z64" i="10"/>
  <c r="Z65" i="10"/>
  <c r="C46" i="10"/>
  <c r="Z53" i="10"/>
  <c r="C48" i="10"/>
  <c r="Z52" i="10"/>
  <c r="Z55" i="10"/>
  <c r="Z66" i="10"/>
  <c r="Z60" i="10"/>
  <c r="Z50" i="10"/>
  <c r="Z59" i="10"/>
  <c r="C50" i="10"/>
  <c r="Z49" i="10"/>
  <c r="Z46" i="10"/>
  <c r="Z57" i="10"/>
  <c r="Z69" i="10"/>
  <c r="Z51" i="10"/>
  <c r="Z54" i="10"/>
  <c r="Z45" i="10"/>
  <c r="Z68" i="10"/>
  <c r="C51" i="10"/>
  <c r="C49" i="11"/>
  <c r="Z62" i="11"/>
  <c r="Z55" i="11"/>
  <c r="Z64" i="11"/>
  <c r="C46" i="11"/>
  <c r="Z60" i="11"/>
  <c r="Z65" i="11"/>
  <c r="Z48" i="11"/>
  <c r="Z53" i="11"/>
  <c r="Z63" i="11"/>
  <c r="Z49" i="11"/>
  <c r="Z66" i="11"/>
  <c r="Z57" i="11"/>
  <c r="Z71" i="11"/>
  <c r="Z46" i="11"/>
  <c r="C45" i="11"/>
  <c r="C47" i="11"/>
  <c r="Z51" i="11"/>
  <c r="Z69" i="11"/>
  <c r="C51" i="11"/>
  <c r="Z72" i="11"/>
  <c r="Z50" i="11"/>
  <c r="Z70" i="11"/>
  <c r="Z59" i="11"/>
  <c r="Z54" i="11"/>
  <c r="C48" i="11"/>
  <c r="Z45" i="11"/>
  <c r="Z61" i="11"/>
  <c r="Z68" i="11"/>
  <c r="Z52" i="11"/>
  <c r="Z58" i="11"/>
  <c r="Z47" i="11"/>
  <c r="Z56" i="11"/>
  <c r="Z67" i="11"/>
  <c r="C50" i="11"/>
  <c r="AA50" i="10"/>
  <c r="AA64" i="10"/>
  <c r="AA49" i="10"/>
  <c r="AA54" i="10"/>
  <c r="AA63" i="10"/>
  <c r="AA51" i="10"/>
  <c r="AA57" i="10"/>
  <c r="AA66" i="10"/>
  <c r="D49" i="10"/>
  <c r="AA62" i="10"/>
  <c r="AA46" i="10"/>
  <c r="D48" i="10"/>
  <c r="AA69" i="10"/>
  <c r="AA60" i="10"/>
  <c r="AA55" i="10"/>
  <c r="D45" i="10"/>
  <c r="AA59" i="10"/>
  <c r="D51" i="10"/>
  <c r="D46" i="10"/>
  <c r="AA68" i="10"/>
  <c r="AA61" i="10"/>
  <c r="AA58" i="10"/>
  <c r="AA67" i="10"/>
  <c r="AA70" i="10"/>
  <c r="D50" i="10"/>
  <c r="AA45" i="10"/>
  <c r="AA71" i="10"/>
  <c r="AA53" i="10"/>
  <c r="AA72" i="10"/>
  <c r="AA56" i="10"/>
  <c r="D47" i="10"/>
  <c r="AA65" i="10"/>
  <c r="AA52" i="10"/>
  <c r="AA48" i="10"/>
  <c r="AA47" i="10"/>
  <c r="AA57" i="11"/>
  <c r="D47" i="11"/>
  <c r="AA59" i="11"/>
  <c r="AA47" i="11"/>
  <c r="AA62" i="11"/>
  <c r="AA51" i="11"/>
  <c r="D51" i="11"/>
  <c r="AA49" i="11"/>
  <c r="AA58" i="11"/>
  <c r="AA50" i="11"/>
  <c r="AA72" i="11"/>
  <c r="AA70" i="11"/>
  <c r="AA66" i="11"/>
  <c r="AA60" i="11"/>
  <c r="AA46" i="11"/>
  <c r="AA52" i="11"/>
  <c r="AA64" i="11"/>
  <c r="D49" i="11"/>
  <c r="AA54" i="11"/>
  <c r="AA65" i="11"/>
  <c r="AA45" i="11"/>
  <c r="AA48" i="11"/>
  <c r="AA61" i="11"/>
  <c r="D46" i="11"/>
  <c r="D50" i="11"/>
  <c r="AA56" i="11"/>
  <c r="AA69" i="11"/>
  <c r="AA71" i="11"/>
  <c r="AA68" i="11"/>
  <c r="AA63" i="11"/>
  <c r="AA55" i="11"/>
  <c r="AA67" i="11"/>
  <c r="AA53" i="11"/>
  <c r="D48" i="11"/>
  <c r="D45" i="11"/>
  <c r="AA48" i="5"/>
  <c r="AA49" i="5"/>
  <c r="AA52" i="5"/>
  <c r="AA50" i="5"/>
  <c r="AA64" i="5"/>
  <c r="AA55" i="5"/>
  <c r="AA62" i="5"/>
  <c r="AA68" i="5"/>
  <c r="AA46" i="5"/>
  <c r="AA47" i="5"/>
  <c r="D48" i="5"/>
  <c r="AA54" i="5"/>
  <c r="AA67" i="5"/>
  <c r="AA71" i="5"/>
  <c r="AA51" i="5"/>
  <c r="D49" i="5"/>
  <c r="AA45" i="5"/>
  <c r="AA57" i="5"/>
  <c r="AA56" i="5"/>
  <c r="AA59" i="5"/>
  <c r="AA63" i="5"/>
  <c r="AA70" i="5"/>
  <c r="AA66" i="5"/>
  <c r="AA53" i="5"/>
  <c r="AA61" i="5"/>
  <c r="AA58" i="5"/>
  <c r="AA65" i="5"/>
  <c r="AA72" i="5"/>
  <c r="AA60" i="5"/>
  <c r="D46" i="5"/>
  <c r="D45" i="5"/>
  <c r="AA69" i="5"/>
  <c r="D47" i="5"/>
  <c r="Z66" i="5"/>
  <c r="Z61" i="5"/>
  <c r="Z52" i="5"/>
  <c r="C47" i="5"/>
  <c r="Z54" i="5"/>
  <c r="Z67" i="5"/>
  <c r="C49" i="5"/>
  <c r="Z72" i="5"/>
  <c r="Z63" i="5"/>
  <c r="Z64" i="5"/>
  <c r="Z60" i="5"/>
  <c r="Z53" i="5"/>
  <c r="Z50" i="5"/>
  <c r="Z46" i="5"/>
  <c r="Z58" i="5"/>
  <c r="Z65" i="5"/>
  <c r="C45" i="5"/>
  <c r="Z47" i="5"/>
  <c r="Z49" i="5"/>
  <c r="Z70" i="5"/>
  <c r="Z69" i="5"/>
  <c r="Z59" i="5"/>
  <c r="Z48" i="5"/>
  <c r="Z57" i="5"/>
  <c r="Z62" i="5"/>
  <c r="Z71" i="5"/>
  <c r="C48" i="5"/>
  <c r="C46" i="5"/>
  <c r="Z68" i="5"/>
  <c r="Z56" i="5"/>
  <c r="Z51" i="5"/>
  <c r="Z55" i="5"/>
  <c r="Z45" i="5"/>
  <c r="AA13" i="4"/>
  <c r="AA16" i="4" s="1"/>
  <c r="AA12" i="4"/>
  <c r="AA15" i="4" s="1"/>
  <c r="AA11" i="4"/>
  <c r="AA14" i="4" s="1"/>
  <c r="M4" i="8"/>
  <c r="M14" i="8" s="1"/>
  <c r="M4" i="11"/>
  <c r="M14" i="11" s="1"/>
  <c r="AA7" i="4"/>
  <c r="L4" i="8"/>
  <c r="L4" i="11"/>
  <c r="L4" i="7"/>
  <c r="M4" i="7"/>
  <c r="M14" i="7" s="1"/>
  <c r="L4" i="9"/>
  <c r="M4" i="9"/>
  <c r="M14" i="9" s="1"/>
  <c r="I4" i="6" a="1"/>
  <c r="I4" i="5" a="1"/>
  <c r="Z65" i="7" l="1"/>
  <c r="Z66" i="7"/>
  <c r="Z54" i="7"/>
  <c r="Z70" i="7"/>
  <c r="Z52" i="7"/>
  <c r="Z62" i="7"/>
  <c r="Z53" i="7"/>
  <c r="C50" i="7"/>
  <c r="Z67" i="7"/>
  <c r="Z59" i="7"/>
  <c r="Z55" i="7"/>
  <c r="Z48" i="7"/>
  <c r="Z57" i="7"/>
  <c r="Z69" i="7"/>
  <c r="Z71" i="7"/>
  <c r="C45" i="7"/>
  <c r="Z72" i="7"/>
  <c r="Z47" i="7"/>
  <c r="Z50" i="7"/>
  <c r="Z58" i="7"/>
  <c r="Z46" i="7"/>
  <c r="Z60" i="7"/>
  <c r="Z61" i="7"/>
  <c r="Z51" i="7"/>
  <c r="Z64" i="7"/>
  <c r="C46" i="7"/>
  <c r="Z63" i="7"/>
  <c r="C53" i="7"/>
  <c r="Z56" i="7"/>
  <c r="C48" i="7"/>
  <c r="F48" i="7" s="1"/>
  <c r="C52" i="7"/>
  <c r="C51" i="7"/>
  <c r="Z49" i="7"/>
  <c r="Z68" i="7"/>
  <c r="Z45" i="7"/>
  <c r="C49" i="7"/>
  <c r="AA63" i="9"/>
  <c r="AA61" i="8"/>
  <c r="AA69" i="8"/>
  <c r="D53" i="8"/>
  <c r="AA54" i="8"/>
  <c r="AA49" i="8"/>
  <c r="AA46" i="8"/>
  <c r="AA51" i="8"/>
  <c r="AA63" i="8"/>
  <c r="AA58" i="8"/>
  <c r="D48" i="9"/>
  <c r="D48" i="8"/>
  <c r="AA57" i="8"/>
  <c r="AA72" i="8"/>
  <c r="AA48" i="8"/>
  <c r="AA54" i="9"/>
  <c r="AA55" i="9"/>
  <c r="D47" i="7"/>
  <c r="F47" i="7" s="1"/>
  <c r="C47" i="6"/>
  <c r="Z63" i="9"/>
  <c r="C48" i="9"/>
  <c r="C50" i="9"/>
  <c r="D50" i="9"/>
  <c r="Z70" i="9"/>
  <c r="C45" i="9"/>
  <c r="Z57" i="9"/>
  <c r="AA71" i="6"/>
  <c r="Z46" i="6"/>
  <c r="Z56" i="9"/>
  <c r="Z72" i="9"/>
  <c r="Z70" i="8"/>
  <c r="Z57" i="6"/>
  <c r="AA49" i="9"/>
  <c r="Z51" i="8"/>
  <c r="C45" i="6"/>
  <c r="C50" i="8"/>
  <c r="AA50" i="9"/>
  <c r="Z60" i="8"/>
  <c r="Z70" i="6"/>
  <c r="Z71" i="8"/>
  <c r="Z69" i="6"/>
  <c r="AA67" i="7"/>
  <c r="Z57" i="8"/>
  <c r="Z64" i="6"/>
  <c r="AA68" i="7"/>
  <c r="Z71" i="6"/>
  <c r="AA45" i="9"/>
  <c r="Z60" i="6"/>
  <c r="AC60" i="6" s="1"/>
  <c r="C51" i="8"/>
  <c r="Z53" i="8"/>
  <c r="Z65" i="6"/>
  <c r="D53" i="9"/>
  <c r="AA64" i="7"/>
  <c r="C46" i="8"/>
  <c r="Z63" i="8"/>
  <c r="Z49" i="8"/>
  <c r="D48" i="6"/>
  <c r="Z49" i="6"/>
  <c r="Z58" i="6"/>
  <c r="Z62" i="8"/>
  <c r="AA68" i="6"/>
  <c r="D47" i="6"/>
  <c r="AA70" i="9"/>
  <c r="AA72" i="7"/>
  <c r="Z65" i="8"/>
  <c r="Z66" i="8"/>
  <c r="Z59" i="8"/>
  <c r="C49" i="6"/>
  <c r="Z50" i="6"/>
  <c r="Z67" i="8"/>
  <c r="Z46" i="8"/>
  <c r="Z48" i="6"/>
  <c r="AA47" i="9"/>
  <c r="AA60" i="7"/>
  <c r="Z52" i="8"/>
  <c r="C47" i="8"/>
  <c r="Z61" i="8"/>
  <c r="AA70" i="6"/>
  <c r="Z53" i="6"/>
  <c r="Z62" i="6"/>
  <c r="Z50" i="8"/>
  <c r="AA59" i="9"/>
  <c r="C53" i="8"/>
  <c r="Z47" i="8"/>
  <c r="Z72" i="8"/>
  <c r="Z68" i="6"/>
  <c r="Z67" i="6"/>
  <c r="Z55" i="8"/>
  <c r="Z56" i="8"/>
  <c r="Z54" i="8"/>
  <c r="AA65" i="6"/>
  <c r="D45" i="9"/>
  <c r="C48" i="8"/>
  <c r="Z64" i="8"/>
  <c r="C52" i="8"/>
  <c r="C48" i="6"/>
  <c r="Z61" i="6"/>
  <c r="Z68" i="8"/>
  <c r="Z58" i="8"/>
  <c r="Z48" i="8"/>
  <c r="AA50" i="6"/>
  <c r="D46" i="9"/>
  <c r="AA57" i="9"/>
  <c r="Z45" i="8"/>
  <c r="C45" i="8"/>
  <c r="Z69" i="8"/>
  <c r="Z59" i="6"/>
  <c r="AA68" i="9"/>
  <c r="AA67" i="9"/>
  <c r="AB67" i="9" s="1"/>
  <c r="AA65" i="7"/>
  <c r="AA65" i="8"/>
  <c r="AA62" i="8"/>
  <c r="AA60" i="8"/>
  <c r="D46" i="6"/>
  <c r="AA64" i="6"/>
  <c r="AA62" i="6"/>
  <c r="Z56" i="6"/>
  <c r="Z63" i="6"/>
  <c r="Z48" i="9"/>
  <c r="AA66" i="6"/>
  <c r="C47" i="9"/>
  <c r="AA53" i="6"/>
  <c r="AA55" i="8"/>
  <c r="Z66" i="9"/>
  <c r="AA62" i="9"/>
  <c r="D51" i="9"/>
  <c r="D52" i="7"/>
  <c r="F52" i="7" s="1"/>
  <c r="AA70" i="8"/>
  <c r="AA64" i="8"/>
  <c r="AA45" i="8"/>
  <c r="AA72" i="6"/>
  <c r="AA51" i="6"/>
  <c r="AA69" i="6"/>
  <c r="C46" i="6"/>
  <c r="Z55" i="6"/>
  <c r="Z53" i="9"/>
  <c r="Z46" i="9"/>
  <c r="Z45" i="9"/>
  <c r="D51" i="8"/>
  <c r="D47" i="8"/>
  <c r="D45" i="6"/>
  <c r="AA56" i="6"/>
  <c r="D49" i="6"/>
  <c r="Z61" i="9"/>
  <c r="Z54" i="9"/>
  <c r="AA69" i="9"/>
  <c r="AA58" i="9"/>
  <c r="D51" i="7"/>
  <c r="AA67" i="8"/>
  <c r="AA59" i="8"/>
  <c r="AA47" i="8"/>
  <c r="AA57" i="6"/>
  <c r="AA67" i="6"/>
  <c r="AA47" i="6"/>
  <c r="Z47" i="6"/>
  <c r="Z45" i="6"/>
  <c r="Z51" i="6"/>
  <c r="AA61" i="6"/>
  <c r="AA58" i="6"/>
  <c r="AA63" i="6"/>
  <c r="AA51" i="7"/>
  <c r="AA66" i="8"/>
  <c r="D45" i="8"/>
  <c r="AA68" i="8"/>
  <c r="AA45" i="6"/>
  <c r="Z62" i="9"/>
  <c r="Z52" i="9"/>
  <c r="AA46" i="6"/>
  <c r="AA54" i="6"/>
  <c r="AA51" i="9"/>
  <c r="AA52" i="9"/>
  <c r="D46" i="7"/>
  <c r="D50" i="8"/>
  <c r="AA53" i="8"/>
  <c r="AA52" i="8"/>
  <c r="AA48" i="6"/>
  <c r="AA59" i="6"/>
  <c r="AA55" i="6"/>
  <c r="Z54" i="6"/>
  <c r="Z66" i="6"/>
  <c r="Z72" i="6"/>
  <c r="Z69" i="9"/>
  <c r="Z47" i="9"/>
  <c r="AA57" i="7"/>
  <c r="AA71" i="8"/>
  <c r="D46" i="8"/>
  <c r="D52" i="8"/>
  <c r="AA49" i="6"/>
  <c r="AA52" i="6"/>
  <c r="AC52" i="6" s="1"/>
  <c r="C53" i="9"/>
  <c r="Z65" i="9"/>
  <c r="Z60" i="9"/>
  <c r="AA46" i="7"/>
  <c r="D49" i="7"/>
  <c r="AA66" i="9"/>
  <c r="AA64" i="9"/>
  <c r="AA48" i="9"/>
  <c r="AA56" i="7"/>
  <c r="AA52" i="7"/>
  <c r="AA62" i="7"/>
  <c r="C49" i="9"/>
  <c r="Z71" i="9"/>
  <c r="AC71" i="9" s="1"/>
  <c r="Z68" i="9"/>
  <c r="AA49" i="7"/>
  <c r="AA55" i="7"/>
  <c r="AA48" i="7"/>
  <c r="AA60" i="9"/>
  <c r="AA53" i="9"/>
  <c r="AA46" i="9"/>
  <c r="AA50" i="7"/>
  <c r="AA61" i="7"/>
  <c r="D53" i="7"/>
  <c r="C51" i="9"/>
  <c r="Z51" i="9"/>
  <c r="Z50" i="9"/>
  <c r="AA63" i="7"/>
  <c r="AA45" i="7"/>
  <c r="Z64" i="9"/>
  <c r="Z58" i="9"/>
  <c r="D50" i="7"/>
  <c r="AA47" i="7"/>
  <c r="D47" i="9"/>
  <c r="D52" i="9"/>
  <c r="AA70" i="7"/>
  <c r="AA53" i="7"/>
  <c r="AA71" i="7"/>
  <c r="C46" i="9"/>
  <c r="Z49" i="9"/>
  <c r="AA59" i="7"/>
  <c r="AA58" i="7"/>
  <c r="AA69" i="7"/>
  <c r="AA56" i="9"/>
  <c r="AA65" i="9"/>
  <c r="AA61" i="9"/>
  <c r="AA66" i="7"/>
  <c r="AA54" i="7"/>
  <c r="D45" i="7"/>
  <c r="Z55" i="9"/>
  <c r="C52" i="9"/>
  <c r="Z59" i="9"/>
  <c r="AA72" i="9"/>
  <c r="D49" i="9"/>
  <c r="AA50" i="8"/>
  <c r="AA56" i="8"/>
  <c r="AC54" i="10"/>
  <c r="AC48" i="10"/>
  <c r="AC63" i="10"/>
  <c r="E47" i="10"/>
  <c r="F51" i="10"/>
  <c r="AB47" i="10"/>
  <c r="AB54" i="10"/>
  <c r="AB68" i="10"/>
  <c r="AC68" i="10"/>
  <c r="F49" i="8"/>
  <c r="E49" i="8"/>
  <c r="AB45" i="10"/>
  <c r="AC46" i="5"/>
  <c r="AB46" i="5"/>
  <c r="AC56" i="10"/>
  <c r="AB56" i="10"/>
  <c r="AC58" i="10"/>
  <c r="AB58" i="10"/>
  <c r="AC60" i="10"/>
  <c r="AB60" i="10"/>
  <c r="AC62" i="10"/>
  <c r="AB62" i="10"/>
  <c r="AB51" i="10"/>
  <c r="AC51" i="10"/>
  <c r="AC64" i="10"/>
  <c r="AB64" i="10"/>
  <c r="AB67" i="11"/>
  <c r="AC67" i="11"/>
  <c r="AB52" i="11"/>
  <c r="AC52" i="11"/>
  <c r="F48" i="11"/>
  <c r="E48" i="11"/>
  <c r="AC50" i="11"/>
  <c r="AB50" i="11"/>
  <c r="AB51" i="11"/>
  <c r="AC51" i="11"/>
  <c r="AC71" i="11"/>
  <c r="AB71" i="11"/>
  <c r="AB63" i="11"/>
  <c r="AC63" i="11"/>
  <c r="AB60" i="11"/>
  <c r="AC60" i="11"/>
  <c r="AB62" i="11"/>
  <c r="AC62" i="11"/>
  <c r="E48" i="5"/>
  <c r="F48" i="5"/>
  <c r="AB49" i="5"/>
  <c r="AC49" i="5"/>
  <c r="AC60" i="5"/>
  <c r="AB60" i="5"/>
  <c r="AB52" i="5"/>
  <c r="AC52" i="5"/>
  <c r="AC56" i="5"/>
  <c r="AB56" i="5"/>
  <c r="AC59" i="5"/>
  <c r="AB59" i="5"/>
  <c r="AC64" i="5"/>
  <c r="AB64" i="5"/>
  <c r="AC61" i="5"/>
  <c r="AB61" i="5"/>
  <c r="AB68" i="5"/>
  <c r="AC68" i="5"/>
  <c r="AC69" i="5"/>
  <c r="AB69" i="5"/>
  <c r="AB50" i="5"/>
  <c r="AC50" i="5"/>
  <c r="AC66" i="5"/>
  <c r="AB66" i="5"/>
  <c r="AB52" i="10"/>
  <c r="AC52" i="10"/>
  <c r="AB72" i="10"/>
  <c r="AC72" i="10"/>
  <c r="E50" i="10"/>
  <c r="F50" i="10"/>
  <c r="AB61" i="10"/>
  <c r="AC61" i="10"/>
  <c r="AB59" i="10"/>
  <c r="AC59" i="10"/>
  <c r="AB69" i="10"/>
  <c r="AC69" i="10"/>
  <c r="E49" i="10"/>
  <c r="F49" i="10"/>
  <c r="AB50" i="10"/>
  <c r="AC50" i="10"/>
  <c r="AB56" i="11"/>
  <c r="AC56" i="11"/>
  <c r="AC68" i="11"/>
  <c r="AB68" i="11"/>
  <c r="AB54" i="11"/>
  <c r="AC54" i="11"/>
  <c r="AC72" i="11"/>
  <c r="AB72" i="11"/>
  <c r="E47" i="11"/>
  <c r="F47" i="11"/>
  <c r="AC57" i="11"/>
  <c r="AB57" i="11"/>
  <c r="AC53" i="11"/>
  <c r="AB53" i="11"/>
  <c r="E46" i="11"/>
  <c r="F46" i="11"/>
  <c r="E49" i="11"/>
  <c r="F49" i="11"/>
  <c r="AB48" i="10"/>
  <c r="AB51" i="5"/>
  <c r="AC51" i="5"/>
  <c r="AC48" i="5"/>
  <c r="AB48" i="5"/>
  <c r="AC58" i="5"/>
  <c r="AB58" i="5"/>
  <c r="F49" i="5"/>
  <c r="E49" i="5"/>
  <c r="AC71" i="5"/>
  <c r="AB71" i="5"/>
  <c r="AC47" i="5"/>
  <c r="AB47" i="5"/>
  <c r="AC67" i="5"/>
  <c r="AB67" i="5"/>
  <c r="AC45" i="5"/>
  <c r="AB45" i="5"/>
  <c r="AB62" i="5"/>
  <c r="AC62" i="5"/>
  <c r="E45" i="5"/>
  <c r="F45" i="5"/>
  <c r="AC63" i="5"/>
  <c r="AB63" i="5"/>
  <c r="AC54" i="5"/>
  <c r="AB54" i="5"/>
  <c r="AC55" i="5"/>
  <c r="AB55" i="5"/>
  <c r="E46" i="5"/>
  <c r="F46" i="5"/>
  <c r="AC57" i="5"/>
  <c r="AB57" i="5"/>
  <c r="AC70" i="5"/>
  <c r="AB70" i="5"/>
  <c r="AC65" i="5"/>
  <c r="AB65" i="5"/>
  <c r="AC53" i="5"/>
  <c r="AB53" i="5"/>
  <c r="AB72" i="5"/>
  <c r="AC72" i="5"/>
  <c r="E47" i="5"/>
  <c r="F47" i="5"/>
  <c r="AB65" i="10"/>
  <c r="AC65" i="10"/>
  <c r="AB53" i="10"/>
  <c r="AC53" i="10"/>
  <c r="AC70" i="10"/>
  <c r="AB70" i="10"/>
  <c r="E45" i="10"/>
  <c r="F45" i="10"/>
  <c r="E48" i="10"/>
  <c r="F48" i="10"/>
  <c r="AB66" i="10"/>
  <c r="AC66" i="10"/>
  <c r="AC47" i="11"/>
  <c r="AB47" i="11"/>
  <c r="AC61" i="11"/>
  <c r="AB61" i="11"/>
  <c r="AB59" i="11"/>
  <c r="AC59" i="11"/>
  <c r="F51" i="11"/>
  <c r="E51" i="11"/>
  <c r="F45" i="11"/>
  <c r="E45" i="11"/>
  <c r="AC66" i="11"/>
  <c r="AB66" i="11"/>
  <c r="AB48" i="11"/>
  <c r="AC48" i="11"/>
  <c r="AC64" i="11"/>
  <c r="AB64" i="11"/>
  <c r="AB63" i="10"/>
  <c r="F47" i="10"/>
  <c r="E51" i="10"/>
  <c r="AC71" i="10"/>
  <c r="AB71" i="10"/>
  <c r="AB67" i="10"/>
  <c r="AC67" i="10"/>
  <c r="E46" i="10"/>
  <c r="F46" i="10"/>
  <c r="AC55" i="10"/>
  <c r="AB55" i="10"/>
  <c r="AC46" i="10"/>
  <c r="AB46" i="10"/>
  <c r="AC57" i="10"/>
  <c r="AB57" i="10"/>
  <c r="AB49" i="10"/>
  <c r="AC49" i="10"/>
  <c r="F50" i="11"/>
  <c r="E50" i="11"/>
  <c r="AB58" i="11"/>
  <c r="AC58" i="11"/>
  <c r="AB45" i="11"/>
  <c r="AC45" i="11"/>
  <c r="AC70" i="11"/>
  <c r="AB70" i="11"/>
  <c r="AB69" i="11"/>
  <c r="AC69" i="11"/>
  <c r="AC46" i="11"/>
  <c r="AB46" i="11"/>
  <c r="AB49" i="11"/>
  <c r="AC49" i="11"/>
  <c r="AB65" i="11"/>
  <c r="AC65" i="11"/>
  <c r="AB55" i="11"/>
  <c r="AC55" i="11"/>
  <c r="AC47" i="10"/>
  <c r="AC45" i="10"/>
  <c r="J4" i="6"/>
  <c r="K4" i="6"/>
  <c r="I4" i="6"/>
  <c r="J4" i="5"/>
  <c r="K4" i="5"/>
  <c r="I4" i="5"/>
  <c r="AA17" i="4"/>
  <c r="AA22" i="4" s="1"/>
  <c r="J5" i="8"/>
  <c r="J14" i="8" s="1"/>
  <c r="J5" i="11"/>
  <c r="J14" i="11" s="1"/>
  <c r="I5" i="11"/>
  <c r="I14" i="11" s="1"/>
  <c r="K5" i="11"/>
  <c r="K14" i="11" s="1"/>
  <c r="K5" i="8"/>
  <c r="K14" i="8" s="1"/>
  <c r="I5" i="8"/>
  <c r="I14" i="8" s="1"/>
  <c r="AA9" i="4"/>
  <c r="AA19" i="4" s="1"/>
  <c r="AA8" i="4"/>
  <c r="AA18" i="4" s="1"/>
  <c r="I5" i="7"/>
  <c r="I14" i="7" s="1"/>
  <c r="K5" i="7"/>
  <c r="K14" i="7" s="1"/>
  <c r="J5" i="7"/>
  <c r="J14" i="7" s="1"/>
  <c r="K5" i="9"/>
  <c r="K14" i="9" s="1"/>
  <c r="J5" i="9"/>
  <c r="J14" i="9" s="1"/>
  <c r="I5" i="9"/>
  <c r="I14" i="9" s="1"/>
  <c r="AC69" i="9" l="1"/>
  <c r="AB66" i="8"/>
  <c r="AC65" i="7"/>
  <c r="AC66" i="7"/>
  <c r="AB61" i="7"/>
  <c r="AB52" i="7"/>
  <c r="E48" i="7"/>
  <c r="AB53" i="9"/>
  <c r="AC56" i="7"/>
  <c r="AC63" i="9"/>
  <c r="AB48" i="7"/>
  <c r="E49" i="7"/>
  <c r="AB71" i="7"/>
  <c r="AC45" i="7"/>
  <c r="AB55" i="7"/>
  <c r="AB54" i="7"/>
  <c r="AB70" i="7"/>
  <c r="AC46" i="7"/>
  <c r="AC49" i="7"/>
  <c r="AB67" i="7"/>
  <c r="AC55" i="7"/>
  <c r="F50" i="7"/>
  <c r="AC57" i="7"/>
  <c r="E46" i="7"/>
  <c r="E51" i="7"/>
  <c r="AB72" i="7"/>
  <c r="AB54" i="9"/>
  <c r="AB69" i="7"/>
  <c r="AB58" i="8"/>
  <c r="AB59" i="7"/>
  <c r="AC53" i="7"/>
  <c r="AB62" i="7"/>
  <c r="AC50" i="7"/>
  <c r="AC58" i="7"/>
  <c r="AC60" i="7"/>
  <c r="AB63" i="9"/>
  <c r="AC63" i="7"/>
  <c r="F45" i="7"/>
  <c r="AC68" i="7"/>
  <c r="F53" i="7"/>
  <c r="AC57" i="8"/>
  <c r="AB56" i="7"/>
  <c r="AB47" i="7"/>
  <c r="AC51" i="7"/>
  <c r="AB64" i="7"/>
  <c r="AC65" i="9"/>
  <c r="AC67" i="9"/>
  <c r="AC53" i="8"/>
  <c r="AC45" i="6"/>
  <c r="E53" i="9"/>
  <c r="E48" i="9"/>
  <c r="AC62" i="9"/>
  <c r="F50" i="9"/>
  <c r="AB63" i="8"/>
  <c r="E52" i="7"/>
  <c r="E48" i="8"/>
  <c r="AB54" i="8"/>
  <c r="AC61" i="8"/>
  <c r="AC68" i="9"/>
  <c r="AB60" i="7"/>
  <c r="AB49" i="9"/>
  <c r="F45" i="9"/>
  <c r="AC63" i="8"/>
  <c r="AB47" i="8"/>
  <c r="E50" i="8"/>
  <c r="AC54" i="7"/>
  <c r="AB62" i="8"/>
  <c r="AC50" i="8"/>
  <c r="AB47" i="9"/>
  <c r="AC61" i="6"/>
  <c r="AB46" i="7"/>
  <c r="AC50" i="9"/>
  <c r="E53" i="8"/>
  <c r="AC46" i="8"/>
  <c r="E45" i="6"/>
  <c r="F48" i="9"/>
  <c r="E53" i="7"/>
  <c r="AB64" i="6"/>
  <c r="AB57" i="9"/>
  <c r="AC59" i="7"/>
  <c r="F47" i="9"/>
  <c r="AC59" i="8"/>
  <c r="AB68" i="7"/>
  <c r="AB62" i="9"/>
  <c r="AC60" i="8"/>
  <c r="AB61" i="8"/>
  <c r="F46" i="7"/>
  <c r="AC54" i="9"/>
  <c r="AB50" i="7"/>
  <c r="AB57" i="8"/>
  <c r="AC72" i="8"/>
  <c r="E47" i="7"/>
  <c r="F52" i="9"/>
  <c r="E50" i="9"/>
  <c r="E51" i="9"/>
  <c r="AC64" i="8"/>
  <c r="AC70" i="8"/>
  <c r="AC49" i="8"/>
  <c r="AC57" i="9"/>
  <c r="AB56" i="8"/>
  <c r="AC56" i="9"/>
  <c r="AC63" i="6"/>
  <c r="AC65" i="6"/>
  <c r="AC58" i="8"/>
  <c r="AB60" i="8"/>
  <c r="F47" i="6"/>
  <c r="AC49" i="9"/>
  <c r="AB61" i="9"/>
  <c r="AB48" i="6"/>
  <c r="F45" i="6"/>
  <c r="AC67" i="7"/>
  <c r="AC55" i="9"/>
  <c r="AB56" i="6"/>
  <c r="AB69" i="8"/>
  <c r="AB59" i="9"/>
  <c r="AC51" i="8"/>
  <c r="E46" i="8"/>
  <c r="AB50" i="6"/>
  <c r="AB48" i="8"/>
  <c r="F51" i="7"/>
  <c r="E49" i="9"/>
  <c r="AC64" i="9"/>
  <c r="AB65" i="8"/>
  <c r="AB70" i="9"/>
  <c r="AB70" i="6"/>
  <c r="AB71" i="6"/>
  <c r="AB60" i="6"/>
  <c r="AC59" i="9"/>
  <c r="AB66" i="6"/>
  <c r="AB63" i="6"/>
  <c r="AB67" i="8"/>
  <c r="AC61" i="9"/>
  <c r="AC48" i="6"/>
  <c r="AB50" i="9"/>
  <c r="E52" i="9"/>
  <c r="AB68" i="8"/>
  <c r="AB59" i="8"/>
  <c r="E50" i="7"/>
  <c r="AB46" i="8"/>
  <c r="AC53" i="9"/>
  <c r="AC62" i="8"/>
  <c r="AB51" i="7"/>
  <c r="AC72" i="9"/>
  <c r="AB54" i="6"/>
  <c r="AB69" i="9"/>
  <c r="AB72" i="8"/>
  <c r="AB52" i="6"/>
  <c r="AB51" i="9"/>
  <c r="F53" i="9"/>
  <c r="AC47" i="6"/>
  <c r="AB59" i="6"/>
  <c r="F52" i="8"/>
  <c r="AB45" i="9"/>
  <c r="AC67" i="8"/>
  <c r="AC71" i="6"/>
  <c r="F49" i="7"/>
  <c r="AC64" i="7"/>
  <c r="AB49" i="7"/>
  <c r="AC69" i="8"/>
  <c r="AC70" i="9"/>
  <c r="AB49" i="6"/>
  <c r="AB45" i="6"/>
  <c r="AB64" i="8"/>
  <c r="AC56" i="6"/>
  <c r="E45" i="8"/>
  <c r="AC50" i="6"/>
  <c r="E48" i="6"/>
  <c r="AB52" i="8"/>
  <c r="F47" i="8"/>
  <c r="AC45" i="8"/>
  <c r="AB51" i="8"/>
  <c r="AC70" i="6"/>
  <c r="E47" i="9"/>
  <c r="AC47" i="8"/>
  <c r="F51" i="8"/>
  <c r="AC65" i="8"/>
  <c r="AC48" i="7"/>
  <c r="AC56" i="8"/>
  <c r="AB69" i="6"/>
  <c r="AB56" i="9"/>
  <c r="AB71" i="8"/>
  <c r="AC45" i="9"/>
  <c r="AB57" i="7"/>
  <c r="E45" i="9"/>
  <c r="AC48" i="8"/>
  <c r="AC59" i="6"/>
  <c r="AB46" i="9"/>
  <c r="F51" i="9"/>
  <c r="AC66" i="8"/>
  <c r="F46" i="8"/>
  <c r="AB66" i="9"/>
  <c r="AB55" i="8"/>
  <c r="AB53" i="7"/>
  <c r="AB60" i="9"/>
  <c r="AC69" i="6"/>
  <c r="AC72" i="7"/>
  <c r="E47" i="6"/>
  <c r="AC46" i="6"/>
  <c r="AB52" i="9"/>
  <c r="E52" i="8"/>
  <c r="AB58" i="6"/>
  <c r="AC57" i="6"/>
  <c r="AC71" i="8"/>
  <c r="F48" i="6"/>
  <c r="F48" i="8"/>
  <c r="AB66" i="7"/>
  <c r="AC58" i="6"/>
  <c r="AC58" i="9"/>
  <c r="AC55" i="6"/>
  <c r="AC55" i="8"/>
  <c r="AC67" i="6"/>
  <c r="AB65" i="6"/>
  <c r="AC47" i="9"/>
  <c r="E51" i="8"/>
  <c r="AC54" i="8"/>
  <c r="F45" i="8"/>
  <c r="AC72" i="6"/>
  <c r="AB61" i="6"/>
  <c r="AB53" i="6"/>
  <c r="AC68" i="8"/>
  <c r="AC68" i="6"/>
  <c r="AB53" i="8"/>
  <c r="AC52" i="8"/>
  <c r="AC62" i="7"/>
  <c r="AC70" i="7"/>
  <c r="AC49" i="6"/>
  <c r="AB47" i="6"/>
  <c r="AB57" i="6"/>
  <c r="AC66" i="9"/>
  <c r="AC52" i="9"/>
  <c r="E46" i="9"/>
  <c r="AB62" i="6"/>
  <c r="F49" i="6"/>
  <c r="AC46" i="9"/>
  <c r="AC64" i="6"/>
  <c r="AB71" i="9"/>
  <c r="F53" i="8"/>
  <c r="AB68" i="6"/>
  <c r="AB55" i="6"/>
  <c r="AB72" i="6"/>
  <c r="AC54" i="6"/>
  <c r="AB64" i="9"/>
  <c r="AC71" i="7"/>
  <c r="AB70" i="8"/>
  <c r="E49" i="6"/>
  <c r="AB58" i="7"/>
  <c r="AC66" i="6"/>
  <c r="AC62" i="6"/>
  <c r="AB46" i="6"/>
  <c r="AB72" i="9"/>
  <c r="AC51" i="9"/>
  <c r="E47" i="8"/>
  <c r="AB65" i="7"/>
  <c r="AB49" i="8"/>
  <c r="AC53" i="6"/>
  <c r="AB55" i="9"/>
  <c r="AB45" i="8"/>
  <c r="AB67" i="6"/>
  <c r="AB65" i="9"/>
  <c r="AB48" i="9"/>
  <c r="E46" i="6"/>
  <c r="AC61" i="7"/>
  <c r="AB45" i="7"/>
  <c r="AC52" i="7"/>
  <c r="AC51" i="6"/>
  <c r="AB63" i="7"/>
  <c r="AB51" i="6"/>
  <c r="F49" i="9"/>
  <c r="F46" i="9"/>
  <c r="F50" i="8"/>
  <c r="F46" i="6"/>
  <c r="AC48" i="9"/>
  <c r="AC47" i="7"/>
  <c r="AB58" i="9"/>
  <c r="AC60" i="9"/>
  <c r="AB50" i="8"/>
  <c r="E45" i="7"/>
  <c r="AB68" i="9"/>
  <c r="AC69" i="7"/>
  <c r="X18" i="11"/>
  <c r="X18" i="10"/>
  <c r="X18" i="5"/>
  <c r="L4" i="5"/>
  <c r="M4" i="6"/>
  <c r="L4" i="6"/>
  <c r="M4" i="5"/>
  <c r="AA21" i="4"/>
  <c r="AA24" i="4" s="1"/>
  <c r="AA20" i="4"/>
  <c r="AA23" i="4" s="1"/>
  <c r="X18" i="7" l="1"/>
  <c r="AD53" i="7" s="1"/>
  <c r="X18" i="9"/>
  <c r="AD69" i="9" s="1"/>
  <c r="X18" i="6"/>
  <c r="AD71" i="6" s="1"/>
  <c r="X18" i="8"/>
  <c r="AD48" i="8" s="1"/>
  <c r="AD57" i="5"/>
  <c r="AD60" i="5"/>
  <c r="AD71" i="5"/>
  <c r="AD47" i="5"/>
  <c r="AD62" i="5"/>
  <c r="AD45" i="5"/>
  <c r="AD69" i="5"/>
  <c r="AD52" i="5"/>
  <c r="AD55" i="5"/>
  <c r="AD67" i="5"/>
  <c r="AD58" i="5"/>
  <c r="AD53" i="5"/>
  <c r="AD64" i="5"/>
  <c r="AD51" i="5"/>
  <c r="AD46" i="5"/>
  <c r="X19" i="5"/>
  <c r="X20" i="5" s="1"/>
  <c r="X21" i="5" s="1"/>
  <c r="AD61" i="5"/>
  <c r="AD59" i="5"/>
  <c r="AD63" i="5"/>
  <c r="AD70" i="5"/>
  <c r="AD48" i="5"/>
  <c r="AD65" i="5"/>
  <c r="AD54" i="5"/>
  <c r="AD56" i="5"/>
  <c r="AD72" i="5"/>
  <c r="AD50" i="5"/>
  <c r="AD66" i="5"/>
  <c r="AD68" i="5"/>
  <c r="AD49" i="5"/>
  <c r="AD50" i="10"/>
  <c r="AD64" i="10"/>
  <c r="AD61" i="10"/>
  <c r="AD52" i="10"/>
  <c r="AD55" i="10"/>
  <c r="AD71" i="10"/>
  <c r="AD67" i="10"/>
  <c r="AD53" i="10"/>
  <c r="AD65" i="10"/>
  <c r="AD45" i="10"/>
  <c r="AD63" i="10"/>
  <c r="AD54" i="10"/>
  <c r="AD59" i="10"/>
  <c r="AD48" i="10"/>
  <c r="X19" i="10"/>
  <c r="AD56" i="10"/>
  <c r="AD72" i="10"/>
  <c r="AD47" i="10"/>
  <c r="AD66" i="10"/>
  <c r="AD57" i="10"/>
  <c r="AD68" i="10"/>
  <c r="AD49" i="10"/>
  <c r="AD46" i="10"/>
  <c r="AD70" i="10"/>
  <c r="AD51" i="10"/>
  <c r="AD62" i="10"/>
  <c r="AD69" i="10"/>
  <c r="AD58" i="10"/>
  <c r="AD60" i="10"/>
  <c r="AD63" i="11"/>
  <c r="AD60" i="11"/>
  <c r="AD72" i="11"/>
  <c r="AD54" i="11"/>
  <c r="AD59" i="11"/>
  <c r="AD69" i="11"/>
  <c r="AD51" i="11"/>
  <c r="AD70" i="11"/>
  <c r="AD47" i="11"/>
  <c r="AD67" i="11"/>
  <c r="AD46" i="11"/>
  <c r="AD68" i="11"/>
  <c r="AD55" i="11"/>
  <c r="AD52" i="11"/>
  <c r="X19" i="11"/>
  <c r="X20" i="11" s="1"/>
  <c r="X21" i="11" s="1"/>
  <c r="AD57" i="11"/>
  <c r="AD48" i="11"/>
  <c r="AD66" i="11"/>
  <c r="AD58" i="11"/>
  <c r="AD71" i="11"/>
  <c r="AD64" i="11"/>
  <c r="AD56" i="11"/>
  <c r="AD45" i="11"/>
  <c r="AD53" i="11"/>
  <c r="AD62" i="11"/>
  <c r="AD49" i="11"/>
  <c r="AD50" i="11"/>
  <c r="AD65" i="11"/>
  <c r="AD61" i="11"/>
  <c r="M14" i="6"/>
  <c r="K5" i="6"/>
  <c r="K14" i="6" s="1"/>
  <c r="I5" i="6"/>
  <c r="I14" i="6" s="1"/>
  <c r="J5" i="6"/>
  <c r="J14" i="6" s="1"/>
  <c r="I5" i="5"/>
  <c r="I14" i="5" s="1"/>
  <c r="M14" i="5"/>
  <c r="J5" i="5"/>
  <c r="J14" i="5" s="1"/>
  <c r="K5" i="5"/>
  <c r="K14" i="5" s="1"/>
  <c r="H45" i="11" a="1"/>
  <c r="H45" i="5" a="1"/>
  <c r="AD63" i="7" l="1"/>
  <c r="AD45" i="7"/>
  <c r="AD52" i="7"/>
  <c r="AD50" i="7"/>
  <c r="AD66" i="7"/>
  <c r="AD67" i="7"/>
  <c r="AD59" i="7"/>
  <c r="X19" i="7"/>
  <c r="X20" i="7" s="1"/>
  <c r="X21" i="7" s="1"/>
  <c r="AD61" i="7"/>
  <c r="AD65" i="7"/>
  <c r="AD47" i="7"/>
  <c r="AD71" i="7"/>
  <c r="AD70" i="9"/>
  <c r="AD68" i="7"/>
  <c r="AD46" i="7"/>
  <c r="AD49" i="7"/>
  <c r="AD60" i="7"/>
  <c r="AD55" i="7"/>
  <c r="AD51" i="7"/>
  <c r="AD48" i="7"/>
  <c r="AD69" i="7"/>
  <c r="AD54" i="7"/>
  <c r="AD58" i="9"/>
  <c r="AD58" i="7"/>
  <c r="AD62" i="7"/>
  <c r="AD64" i="7"/>
  <c r="AD70" i="7"/>
  <c r="AD56" i="7"/>
  <c r="AD57" i="7"/>
  <c r="AD72" i="7"/>
  <c r="AD67" i="9"/>
  <c r="AD62" i="9"/>
  <c r="AD61" i="9"/>
  <c r="AD49" i="9"/>
  <c r="AD48" i="9"/>
  <c r="AD66" i="9"/>
  <c r="AD60" i="9"/>
  <c r="AD46" i="9"/>
  <c r="AD55" i="9"/>
  <c r="AD53" i="9"/>
  <c r="AD72" i="9"/>
  <c r="AD59" i="9"/>
  <c r="AD54" i="9"/>
  <c r="AD51" i="9"/>
  <c r="AD71" i="9"/>
  <c r="AD64" i="9"/>
  <c r="AD50" i="9"/>
  <c r="AD63" i="9"/>
  <c r="AD56" i="9"/>
  <c r="X19" i="9"/>
  <c r="X20" i="9" s="1"/>
  <c r="X21" i="9" s="1"/>
  <c r="AD57" i="9"/>
  <c r="AD65" i="9"/>
  <c r="AD64" i="6"/>
  <c r="AD52" i="9"/>
  <c r="AD45" i="9"/>
  <c r="AD47" i="9"/>
  <c r="AD68" i="9"/>
  <c r="AD62" i="6"/>
  <c r="AD54" i="6"/>
  <c r="AD55" i="6"/>
  <c r="AD63" i="6"/>
  <c r="AD57" i="6"/>
  <c r="AD55" i="8"/>
  <c r="AD65" i="8"/>
  <c r="AD66" i="6"/>
  <c r="AD56" i="6"/>
  <c r="AD58" i="6"/>
  <c r="AD52" i="6"/>
  <c r="AD45" i="6"/>
  <c r="AD72" i="6"/>
  <c r="AD46" i="6"/>
  <c r="AD61" i="6"/>
  <c r="AD60" i="8"/>
  <c r="AD59" i="6"/>
  <c r="AD67" i="6"/>
  <c r="AD70" i="6"/>
  <c r="AD50" i="6"/>
  <c r="AD65" i="6"/>
  <c r="AD51" i="6"/>
  <c r="AD69" i="6"/>
  <c r="AD53" i="6"/>
  <c r="AD48" i="6"/>
  <c r="AD68" i="6"/>
  <c r="AD47" i="6"/>
  <c r="AD60" i="6"/>
  <c r="X19" i="6"/>
  <c r="X20" i="6" s="1"/>
  <c r="X21" i="6" s="1"/>
  <c r="AD49" i="6"/>
  <c r="AD49" i="8"/>
  <c r="AD47" i="8"/>
  <c r="AD50" i="8"/>
  <c r="AD58" i="8"/>
  <c r="AD46" i="8"/>
  <c r="AD69" i="8"/>
  <c r="AD57" i="8"/>
  <c r="AD68" i="8"/>
  <c r="AD54" i="8"/>
  <c r="AD52" i="8"/>
  <c r="AD72" i="8"/>
  <c r="AD53" i="8"/>
  <c r="AD51" i="8"/>
  <c r="AD56" i="8"/>
  <c r="AD70" i="8"/>
  <c r="AD61" i="8"/>
  <c r="AD67" i="8"/>
  <c r="AD66" i="8"/>
  <c r="AD59" i="8"/>
  <c r="AD62" i="8"/>
  <c r="AD63" i="8"/>
  <c r="AD45" i="8"/>
  <c r="X19" i="8"/>
  <c r="X20" i="8" s="1"/>
  <c r="X21" i="8" s="1"/>
  <c r="AD64" i="8"/>
  <c r="AD71" i="8"/>
  <c r="H50" i="5"/>
  <c r="I47" i="5"/>
  <c r="I45" i="5"/>
  <c r="I46" i="5"/>
  <c r="H48" i="5"/>
  <c r="H46" i="5"/>
  <c r="I51" i="5"/>
  <c r="I49" i="5"/>
  <c r="H47" i="5"/>
  <c r="H51" i="5"/>
  <c r="I48" i="5"/>
  <c r="H45" i="5"/>
  <c r="I50" i="5"/>
  <c r="H49" i="5"/>
  <c r="I51" i="11"/>
  <c r="H50" i="11"/>
  <c r="I45" i="11"/>
  <c r="I53" i="11"/>
  <c r="H45" i="11"/>
  <c r="I52" i="11"/>
  <c r="H52" i="11"/>
  <c r="H53" i="11"/>
  <c r="I47" i="11"/>
  <c r="H51" i="11"/>
  <c r="I48" i="11"/>
  <c r="H46" i="11"/>
  <c r="H48" i="11"/>
  <c r="I49" i="11"/>
  <c r="H49" i="11"/>
  <c r="I50" i="11"/>
  <c r="I46" i="11"/>
  <c r="H47" i="11"/>
  <c r="AA1" i="11"/>
  <c r="AA1" i="5"/>
  <c r="AA1" i="10"/>
  <c r="H45" i="7" a="1"/>
  <c r="H45" i="8" a="1"/>
  <c r="H45" i="6" a="1"/>
  <c r="H45" i="9" a="1"/>
  <c r="I51" i="7" l="1"/>
  <c r="H45" i="7"/>
  <c r="I53" i="7"/>
  <c r="H48" i="7"/>
  <c r="H51" i="7"/>
  <c r="H54" i="7"/>
  <c r="H52" i="7"/>
  <c r="H49" i="7"/>
  <c r="I46" i="7"/>
  <c r="I54" i="7"/>
  <c r="I52" i="7"/>
  <c r="I45" i="7"/>
  <c r="I50" i="7"/>
  <c r="H46" i="7"/>
  <c r="H53" i="7"/>
  <c r="I55" i="7"/>
  <c r="H50" i="7"/>
  <c r="H47" i="7"/>
  <c r="H55" i="7"/>
  <c r="I49" i="7"/>
  <c r="I48" i="7"/>
  <c r="I47" i="7"/>
  <c r="AA1" i="7"/>
  <c r="AA3" i="7" s="1"/>
  <c r="AA1" i="9"/>
  <c r="AA3" i="9" s="1"/>
  <c r="H45" i="9"/>
  <c r="I55" i="9"/>
  <c r="H54" i="9"/>
  <c r="I54" i="9"/>
  <c r="I52" i="9"/>
  <c r="I46" i="9"/>
  <c r="I49" i="9"/>
  <c r="H50" i="9"/>
  <c r="I45" i="9"/>
  <c r="I48" i="9"/>
  <c r="H47" i="9"/>
  <c r="I53" i="9"/>
  <c r="H49" i="9"/>
  <c r="I50" i="9"/>
  <c r="H51" i="9"/>
  <c r="H48" i="9"/>
  <c r="H53" i="9"/>
  <c r="H52" i="9"/>
  <c r="I51" i="9"/>
  <c r="I47" i="9"/>
  <c r="H55" i="9"/>
  <c r="H46" i="9"/>
  <c r="AA1" i="8"/>
  <c r="AA3" i="8" s="1"/>
  <c r="AA1" i="6"/>
  <c r="AA3" i="6" s="1"/>
  <c r="I50" i="6"/>
  <c r="H50" i="6"/>
  <c r="H49" i="6"/>
  <c r="H47" i="6"/>
  <c r="I48" i="6"/>
  <c r="I51" i="6"/>
  <c r="H51" i="6"/>
  <c r="I47" i="6"/>
  <c r="I45" i="6"/>
  <c r="H46" i="6"/>
  <c r="H45" i="6"/>
  <c r="I46" i="6"/>
  <c r="H48" i="6"/>
  <c r="I49" i="6"/>
  <c r="H47" i="8"/>
  <c r="H55" i="8"/>
  <c r="I48" i="8"/>
  <c r="H50" i="8"/>
  <c r="I46" i="8"/>
  <c r="I52" i="8"/>
  <c r="H51" i="8"/>
  <c r="H49" i="8"/>
  <c r="H53" i="8"/>
  <c r="I55" i="8"/>
  <c r="I45" i="8"/>
  <c r="I49" i="8"/>
  <c r="H48" i="8"/>
  <c r="I51" i="8"/>
  <c r="H52" i="8"/>
  <c r="H45" i="8"/>
  <c r="H46" i="8"/>
  <c r="K46" i="8" s="1"/>
  <c r="I53" i="8"/>
  <c r="I54" i="8"/>
  <c r="I50" i="8"/>
  <c r="I47" i="8"/>
  <c r="H54" i="8"/>
  <c r="K51" i="5"/>
  <c r="J50" i="5"/>
  <c r="J51" i="5"/>
  <c r="J48" i="5"/>
  <c r="K50" i="5"/>
  <c r="K49" i="5"/>
  <c r="K46" i="5"/>
  <c r="K48" i="5"/>
  <c r="J50" i="11"/>
  <c r="K47" i="5"/>
  <c r="J46" i="11"/>
  <c r="K45" i="5"/>
  <c r="J49" i="5"/>
  <c r="J46" i="5"/>
  <c r="J47" i="5"/>
  <c r="AA3" i="5"/>
  <c r="AA2" i="5"/>
  <c r="AA4" i="5" s="1"/>
  <c r="K46" i="11"/>
  <c r="J53" i="11"/>
  <c r="K53" i="11"/>
  <c r="K48" i="11"/>
  <c r="J48" i="11"/>
  <c r="J45" i="11"/>
  <c r="K45" i="11"/>
  <c r="J45" i="5"/>
  <c r="AA3" i="11"/>
  <c r="AA2" i="11"/>
  <c r="AA4" i="11" s="1"/>
  <c r="K49" i="11"/>
  <c r="J49" i="11"/>
  <c r="J52" i="11"/>
  <c r="K52" i="11"/>
  <c r="AA3" i="10"/>
  <c r="AA2" i="10"/>
  <c r="AA4" i="10" s="1"/>
  <c r="J47" i="11"/>
  <c r="K47" i="11"/>
  <c r="J51" i="11"/>
  <c r="K51" i="11"/>
  <c r="K50" i="11"/>
  <c r="AA11" i="5" a="1"/>
  <c r="AA11" i="11" a="1"/>
  <c r="J47" i="7" l="1"/>
  <c r="K54" i="7"/>
  <c r="J49" i="7"/>
  <c r="J51" i="6"/>
  <c r="J53" i="7"/>
  <c r="J55" i="7"/>
  <c r="J48" i="7"/>
  <c r="J45" i="7"/>
  <c r="K49" i="7"/>
  <c r="AA2" i="7"/>
  <c r="AA4" i="7" s="1"/>
  <c r="AE65" i="7" s="1"/>
  <c r="AF65" i="7" s="1"/>
  <c r="AG65" i="7" s="1"/>
  <c r="J54" i="7"/>
  <c r="J50" i="7"/>
  <c r="J51" i="7"/>
  <c r="K52" i="7"/>
  <c r="K45" i="7"/>
  <c r="K48" i="7"/>
  <c r="J46" i="7"/>
  <c r="J52" i="7"/>
  <c r="K53" i="7"/>
  <c r="K55" i="7"/>
  <c r="K50" i="7"/>
  <c r="K47" i="7"/>
  <c r="K51" i="7"/>
  <c r="K46" i="7"/>
  <c r="K50" i="6"/>
  <c r="J49" i="8"/>
  <c r="K51" i="6"/>
  <c r="J46" i="8"/>
  <c r="K52" i="9"/>
  <c r="K54" i="9"/>
  <c r="K55" i="9"/>
  <c r="J53" i="8"/>
  <c r="AA2" i="8"/>
  <c r="AA4" i="8" s="1"/>
  <c r="AE50" i="8" s="1"/>
  <c r="AF50" i="8" s="1"/>
  <c r="AG50" i="8" s="1"/>
  <c r="AH50" i="8" s="1"/>
  <c r="K47" i="9"/>
  <c r="J52" i="9"/>
  <c r="J50" i="9"/>
  <c r="AA2" i="6"/>
  <c r="AA4" i="6" s="1"/>
  <c r="AE70" i="6" s="1"/>
  <c r="AF70" i="6" s="1"/>
  <c r="AG70" i="6" s="1"/>
  <c r="AH70" i="6" s="1"/>
  <c r="J45" i="8"/>
  <c r="K48" i="6"/>
  <c r="J49" i="9"/>
  <c r="K53" i="9"/>
  <c r="K50" i="8"/>
  <c r="J54" i="9"/>
  <c r="K45" i="9"/>
  <c r="J55" i="8"/>
  <c r="J46" i="6"/>
  <c r="K48" i="9"/>
  <c r="K47" i="6"/>
  <c r="K51" i="9"/>
  <c r="AA2" i="9"/>
  <c r="AA4" i="9" s="1"/>
  <c r="AE60" i="9" s="1"/>
  <c r="AF60" i="9" s="1"/>
  <c r="AG60" i="9" s="1"/>
  <c r="K46" i="9"/>
  <c r="J55" i="9"/>
  <c r="J53" i="9"/>
  <c r="K50" i="9"/>
  <c r="J46" i="9"/>
  <c r="J51" i="9"/>
  <c r="K55" i="8"/>
  <c r="J47" i="6"/>
  <c r="K45" i="6"/>
  <c r="J45" i="9"/>
  <c r="J47" i="9"/>
  <c r="J48" i="9"/>
  <c r="K45" i="8"/>
  <c r="J50" i="8"/>
  <c r="K49" i="9"/>
  <c r="K54" i="8"/>
  <c r="K49" i="8"/>
  <c r="K46" i="6"/>
  <c r="J45" i="6"/>
  <c r="J50" i="6"/>
  <c r="J48" i="8"/>
  <c r="J47" i="8"/>
  <c r="J49" i="6"/>
  <c r="K53" i="8"/>
  <c r="K49" i="6"/>
  <c r="J48" i="6"/>
  <c r="J52" i="8"/>
  <c r="K51" i="8"/>
  <c r="J51" i="8"/>
  <c r="K48" i="8"/>
  <c r="K47" i="8"/>
  <c r="K52" i="8"/>
  <c r="J54" i="8"/>
  <c r="AA11" i="11"/>
  <c r="AA14" i="11" s="1"/>
  <c r="AA13" i="11"/>
  <c r="AA16" i="11" s="1"/>
  <c r="AA12" i="11"/>
  <c r="AA15" i="11" s="1"/>
  <c r="AA13" i="5"/>
  <c r="AA16" i="5" s="1"/>
  <c r="AA12" i="5"/>
  <c r="AA15" i="5" s="1"/>
  <c r="AA11" i="5"/>
  <c r="AE52" i="11"/>
  <c r="AF52" i="11" s="1"/>
  <c r="AG52" i="11" s="1"/>
  <c r="AE50" i="11"/>
  <c r="AF50" i="11" s="1"/>
  <c r="AG50" i="11" s="1"/>
  <c r="AE46" i="11"/>
  <c r="AF46" i="11" s="1"/>
  <c r="AG46" i="11" s="1"/>
  <c r="AE64" i="11"/>
  <c r="AF64" i="11" s="1"/>
  <c r="AG64" i="11" s="1"/>
  <c r="AE59" i="11"/>
  <c r="AF59" i="11" s="1"/>
  <c r="AG59" i="11" s="1"/>
  <c r="AE57" i="11"/>
  <c r="AF57" i="11" s="1"/>
  <c r="AG57" i="11" s="1"/>
  <c r="AE66" i="11"/>
  <c r="AF66" i="11" s="1"/>
  <c r="AG66" i="11" s="1"/>
  <c r="AE47" i="11"/>
  <c r="AF47" i="11" s="1"/>
  <c r="AG47" i="11" s="1"/>
  <c r="AE71" i="11"/>
  <c r="AF71" i="11" s="1"/>
  <c r="AG71" i="11" s="1"/>
  <c r="AE49" i="11"/>
  <c r="AF49" i="11" s="1"/>
  <c r="AG49" i="11" s="1"/>
  <c r="AE67" i="11"/>
  <c r="AF67" i="11" s="1"/>
  <c r="AG67" i="11" s="1"/>
  <c r="AE72" i="11"/>
  <c r="AF72" i="11" s="1"/>
  <c r="AG72" i="11" s="1"/>
  <c r="AE48" i="11"/>
  <c r="AF48" i="11" s="1"/>
  <c r="AG48" i="11" s="1"/>
  <c r="AE63" i="11"/>
  <c r="AF63" i="11" s="1"/>
  <c r="AG63" i="11" s="1"/>
  <c r="AE65" i="11"/>
  <c r="AF65" i="11" s="1"/>
  <c r="AG65" i="11" s="1"/>
  <c r="AE68" i="11"/>
  <c r="AF68" i="11" s="1"/>
  <c r="AG68" i="11" s="1"/>
  <c r="AE62" i="11"/>
  <c r="AF62" i="11" s="1"/>
  <c r="AG62" i="11" s="1"/>
  <c r="AE54" i="11"/>
  <c r="AF54" i="11" s="1"/>
  <c r="AG54" i="11" s="1"/>
  <c r="AE56" i="11"/>
  <c r="AF56" i="11" s="1"/>
  <c r="AG56" i="11" s="1"/>
  <c r="AE69" i="11"/>
  <c r="AF69" i="11" s="1"/>
  <c r="AG69" i="11" s="1"/>
  <c r="AE45" i="11"/>
  <c r="AE61" i="11"/>
  <c r="AF61" i="11" s="1"/>
  <c r="AG61" i="11" s="1"/>
  <c r="AE55" i="11"/>
  <c r="AF55" i="11" s="1"/>
  <c r="AG55" i="11" s="1"/>
  <c r="AE53" i="11"/>
  <c r="AF53" i="11" s="1"/>
  <c r="AG53" i="11" s="1"/>
  <c r="AE70" i="11"/>
  <c r="AF70" i="11" s="1"/>
  <c r="AG70" i="11" s="1"/>
  <c r="AE60" i="11"/>
  <c r="AF60" i="11" s="1"/>
  <c r="AG60" i="11" s="1"/>
  <c r="AE58" i="11"/>
  <c r="AF58" i="11" s="1"/>
  <c r="AG58" i="11" s="1"/>
  <c r="AE51" i="11"/>
  <c r="AF51" i="11" s="1"/>
  <c r="AG51" i="11" s="1"/>
  <c r="AE48" i="5"/>
  <c r="AF48" i="5" s="1"/>
  <c r="AG48" i="5" s="1"/>
  <c r="AE56" i="5"/>
  <c r="AF56" i="5" s="1"/>
  <c r="AG56" i="5" s="1"/>
  <c r="AE51" i="5"/>
  <c r="AF51" i="5" s="1"/>
  <c r="AG51" i="5" s="1"/>
  <c r="AE54" i="5"/>
  <c r="AF54" i="5" s="1"/>
  <c r="AG54" i="5" s="1"/>
  <c r="AE47" i="5"/>
  <c r="AF47" i="5" s="1"/>
  <c r="AG47" i="5" s="1"/>
  <c r="AE67" i="5"/>
  <c r="AF67" i="5" s="1"/>
  <c r="AG67" i="5" s="1"/>
  <c r="AE52" i="5"/>
  <c r="AF52" i="5" s="1"/>
  <c r="AG52" i="5" s="1"/>
  <c r="AE45" i="5"/>
  <c r="AE61" i="5"/>
  <c r="AF61" i="5" s="1"/>
  <c r="AG61" i="5" s="1"/>
  <c r="AE58" i="5"/>
  <c r="AF58" i="5" s="1"/>
  <c r="AG58" i="5" s="1"/>
  <c r="AE55" i="5"/>
  <c r="AF55" i="5" s="1"/>
  <c r="AG55" i="5" s="1"/>
  <c r="AE62" i="5"/>
  <c r="AF62" i="5" s="1"/>
  <c r="AG62" i="5" s="1"/>
  <c r="AE57" i="5"/>
  <c r="AF57" i="5" s="1"/>
  <c r="AG57" i="5" s="1"/>
  <c r="AE60" i="5"/>
  <c r="AF60" i="5" s="1"/>
  <c r="AG60" i="5" s="1"/>
  <c r="AE63" i="5"/>
  <c r="AF63" i="5" s="1"/>
  <c r="AG63" i="5" s="1"/>
  <c r="AE50" i="5"/>
  <c r="AF50" i="5" s="1"/>
  <c r="AG50" i="5" s="1"/>
  <c r="AE59" i="5"/>
  <c r="AF59" i="5" s="1"/>
  <c r="AG59" i="5" s="1"/>
  <c r="AE68" i="5"/>
  <c r="AF68" i="5" s="1"/>
  <c r="AG68" i="5" s="1"/>
  <c r="AE49" i="5"/>
  <c r="AF49" i="5" s="1"/>
  <c r="AG49" i="5" s="1"/>
  <c r="AE69" i="5"/>
  <c r="AF69" i="5" s="1"/>
  <c r="AG69" i="5" s="1"/>
  <c r="AE65" i="5"/>
  <c r="AF65" i="5" s="1"/>
  <c r="AG65" i="5" s="1"/>
  <c r="AE64" i="5"/>
  <c r="AF64" i="5" s="1"/>
  <c r="AG64" i="5" s="1"/>
  <c r="AE70" i="5"/>
  <c r="AF70" i="5" s="1"/>
  <c r="AG70" i="5" s="1"/>
  <c r="AE72" i="5"/>
  <c r="AF72" i="5" s="1"/>
  <c r="AG72" i="5" s="1"/>
  <c r="AE71" i="5"/>
  <c r="AF71" i="5" s="1"/>
  <c r="AG71" i="5" s="1"/>
  <c r="AE66" i="5"/>
  <c r="AF66" i="5" s="1"/>
  <c r="AG66" i="5" s="1"/>
  <c r="AE53" i="5"/>
  <c r="AF53" i="5" s="1"/>
  <c r="AG53" i="5" s="1"/>
  <c r="AE46" i="5"/>
  <c r="AF46" i="5" s="1"/>
  <c r="AG46" i="5" s="1"/>
  <c r="AA11" i="8" a="1"/>
  <c r="AA11" i="9" a="1"/>
  <c r="AA11" i="7" a="1"/>
  <c r="AA11" i="6" a="1"/>
  <c r="AA11" i="7" l="1"/>
  <c r="AA14" i="7" s="1"/>
  <c r="AA13" i="7"/>
  <c r="AA16" i="7" s="1"/>
  <c r="AA12" i="7"/>
  <c r="AA15" i="7" s="1"/>
  <c r="AA13" i="9"/>
  <c r="AA16" i="9" s="1"/>
  <c r="AA11" i="9"/>
  <c r="AA14" i="9" s="1"/>
  <c r="AA12" i="9"/>
  <c r="AA15" i="9" s="1"/>
  <c r="AA13" i="6"/>
  <c r="AA16" i="6" s="1"/>
  <c r="AA11" i="6"/>
  <c r="AA14" i="6" s="1"/>
  <c r="AA12" i="6"/>
  <c r="AA15" i="6" s="1"/>
  <c r="AA14" i="5"/>
  <c r="X22" i="5"/>
  <c r="AE68" i="7"/>
  <c r="AF68" i="7" s="1"/>
  <c r="AG68" i="7" s="1"/>
  <c r="AH68" i="7" s="1"/>
  <c r="AE56" i="7"/>
  <c r="AF56" i="7" s="1"/>
  <c r="AG56" i="7" s="1"/>
  <c r="AI56" i="7" s="1"/>
  <c r="AE71" i="7"/>
  <c r="AF71" i="7" s="1"/>
  <c r="AG71" i="7" s="1"/>
  <c r="AI71" i="7" s="1"/>
  <c r="AE61" i="7"/>
  <c r="AF61" i="7" s="1"/>
  <c r="AG61" i="7" s="1"/>
  <c r="AH61" i="7" s="1"/>
  <c r="AE72" i="7"/>
  <c r="AF72" i="7" s="1"/>
  <c r="AG72" i="7" s="1"/>
  <c r="AH72" i="7" s="1"/>
  <c r="AE69" i="7"/>
  <c r="AF69" i="7" s="1"/>
  <c r="AG69" i="7" s="1"/>
  <c r="AH69" i="7" s="1"/>
  <c r="AE46" i="7"/>
  <c r="AF46" i="7" s="1"/>
  <c r="AG46" i="7" s="1"/>
  <c r="AH46" i="7" s="1"/>
  <c r="AE58" i="7"/>
  <c r="AF58" i="7" s="1"/>
  <c r="AG58" i="7" s="1"/>
  <c r="AI58" i="7" s="1"/>
  <c r="AE51" i="7"/>
  <c r="AF51" i="7" s="1"/>
  <c r="AG51" i="7" s="1"/>
  <c r="AI51" i="7" s="1"/>
  <c r="AE45" i="7"/>
  <c r="AF45" i="7" s="1"/>
  <c r="AG45" i="7" s="1"/>
  <c r="AE53" i="7"/>
  <c r="AF53" i="7" s="1"/>
  <c r="AG53" i="7" s="1"/>
  <c r="AH53" i="7" s="1"/>
  <c r="AE49" i="7"/>
  <c r="AF49" i="7" s="1"/>
  <c r="AG49" i="7" s="1"/>
  <c r="AI49" i="7" s="1"/>
  <c r="AE64" i="7"/>
  <c r="AF64" i="7" s="1"/>
  <c r="AG64" i="7" s="1"/>
  <c r="AH64" i="7" s="1"/>
  <c r="AE60" i="7"/>
  <c r="AF60" i="7" s="1"/>
  <c r="AG60" i="7" s="1"/>
  <c r="AI60" i="7" s="1"/>
  <c r="AE66" i="7"/>
  <c r="AF66" i="7" s="1"/>
  <c r="AG66" i="7" s="1"/>
  <c r="AH66" i="7" s="1"/>
  <c r="AE47" i="7"/>
  <c r="AF47" i="7" s="1"/>
  <c r="AG47" i="7" s="1"/>
  <c r="AI47" i="7" s="1"/>
  <c r="AE54" i="7"/>
  <c r="AF54" i="7" s="1"/>
  <c r="AG54" i="7" s="1"/>
  <c r="AI54" i="7" s="1"/>
  <c r="AE48" i="7"/>
  <c r="AF48" i="7" s="1"/>
  <c r="AG48" i="7" s="1"/>
  <c r="AH48" i="7" s="1"/>
  <c r="AE50" i="7"/>
  <c r="AF50" i="7" s="1"/>
  <c r="AG50" i="7" s="1"/>
  <c r="AH50" i="7" s="1"/>
  <c r="AE70" i="7"/>
  <c r="AF70" i="7" s="1"/>
  <c r="AG70" i="7" s="1"/>
  <c r="AI70" i="7" s="1"/>
  <c r="AE57" i="7"/>
  <c r="AF57" i="7" s="1"/>
  <c r="AG57" i="7" s="1"/>
  <c r="AH57" i="7" s="1"/>
  <c r="AE52" i="7"/>
  <c r="AF52" i="7" s="1"/>
  <c r="AG52" i="7" s="1"/>
  <c r="AH52" i="7" s="1"/>
  <c r="AE55" i="7"/>
  <c r="AF55" i="7" s="1"/>
  <c r="AG55" i="7" s="1"/>
  <c r="AH55" i="7" s="1"/>
  <c r="AE62" i="7"/>
  <c r="AF62" i="7" s="1"/>
  <c r="AG62" i="7" s="1"/>
  <c r="AH62" i="7" s="1"/>
  <c r="AE63" i="7"/>
  <c r="AF63" i="7" s="1"/>
  <c r="AG63" i="7" s="1"/>
  <c r="AH63" i="7" s="1"/>
  <c r="AE59" i="7"/>
  <c r="AF59" i="7" s="1"/>
  <c r="AG59" i="7" s="1"/>
  <c r="AH59" i="7" s="1"/>
  <c r="AE67" i="7"/>
  <c r="AF67" i="7" s="1"/>
  <c r="AG67" i="7" s="1"/>
  <c r="AI67" i="7" s="1"/>
  <c r="AE72" i="8"/>
  <c r="AF72" i="8" s="1"/>
  <c r="AG72" i="8" s="1"/>
  <c r="AH72" i="8" s="1"/>
  <c r="AE51" i="8"/>
  <c r="AF51" i="8" s="1"/>
  <c r="AG51" i="8" s="1"/>
  <c r="AI51" i="8" s="1"/>
  <c r="AE68" i="9"/>
  <c r="AF68" i="9" s="1"/>
  <c r="AG68" i="9" s="1"/>
  <c r="AH68" i="9" s="1"/>
  <c r="AE56" i="8"/>
  <c r="AF56" i="8" s="1"/>
  <c r="AG56" i="8" s="1"/>
  <c r="AH56" i="8" s="1"/>
  <c r="AE53" i="6"/>
  <c r="AF53" i="6" s="1"/>
  <c r="AG53" i="6" s="1"/>
  <c r="AH53" i="6" s="1"/>
  <c r="AE50" i="6"/>
  <c r="AF50" i="6" s="1"/>
  <c r="AG50" i="6" s="1"/>
  <c r="AH50" i="6" s="1"/>
  <c r="AE69" i="6"/>
  <c r="AF69" i="6" s="1"/>
  <c r="AG69" i="6" s="1"/>
  <c r="AI69" i="6" s="1"/>
  <c r="AE49" i="6"/>
  <c r="AF49" i="6" s="1"/>
  <c r="AG49" i="6" s="1"/>
  <c r="AH49" i="6" s="1"/>
  <c r="AE54" i="6"/>
  <c r="AF54" i="6" s="1"/>
  <c r="AG54" i="6" s="1"/>
  <c r="AH54" i="6" s="1"/>
  <c r="AE58" i="8"/>
  <c r="AF58" i="8" s="1"/>
  <c r="AG58" i="8" s="1"/>
  <c r="AI58" i="8" s="1"/>
  <c r="AE66" i="8"/>
  <c r="AF66" i="8" s="1"/>
  <c r="AG66" i="8" s="1"/>
  <c r="AI66" i="8" s="1"/>
  <c r="AE49" i="8"/>
  <c r="AF49" i="8" s="1"/>
  <c r="AG49" i="8" s="1"/>
  <c r="AH49" i="8" s="1"/>
  <c r="AE67" i="8"/>
  <c r="AF67" i="8" s="1"/>
  <c r="AG67" i="8" s="1"/>
  <c r="AI67" i="8" s="1"/>
  <c r="AE48" i="9"/>
  <c r="AF48" i="9" s="1"/>
  <c r="AG48" i="9" s="1"/>
  <c r="AI48" i="9" s="1"/>
  <c r="AE54" i="8"/>
  <c r="AF54" i="8" s="1"/>
  <c r="AG54" i="8" s="1"/>
  <c r="AI54" i="8" s="1"/>
  <c r="AI50" i="8"/>
  <c r="AE64" i="8"/>
  <c r="AF64" i="8" s="1"/>
  <c r="AG64" i="8" s="1"/>
  <c r="AH64" i="8" s="1"/>
  <c r="AE65" i="8"/>
  <c r="AF65" i="8" s="1"/>
  <c r="AG65" i="8" s="1"/>
  <c r="AI65" i="8" s="1"/>
  <c r="AE61" i="8"/>
  <c r="AF61" i="8" s="1"/>
  <c r="AG61" i="8" s="1"/>
  <c r="AH61" i="8" s="1"/>
  <c r="AE48" i="8"/>
  <c r="AF48" i="8" s="1"/>
  <c r="AG48" i="8" s="1"/>
  <c r="AH48" i="8" s="1"/>
  <c r="AE46" i="8"/>
  <c r="AF46" i="8" s="1"/>
  <c r="AG46" i="8" s="1"/>
  <c r="AH46" i="8" s="1"/>
  <c r="AE68" i="8"/>
  <c r="AF68" i="8" s="1"/>
  <c r="AG68" i="8" s="1"/>
  <c r="AH68" i="8" s="1"/>
  <c r="AE59" i="8"/>
  <c r="AF59" i="8" s="1"/>
  <c r="AG59" i="8" s="1"/>
  <c r="AI59" i="8" s="1"/>
  <c r="AE62" i="8"/>
  <c r="AF62" i="8" s="1"/>
  <c r="AG62" i="8" s="1"/>
  <c r="AI62" i="8" s="1"/>
  <c r="AE70" i="8"/>
  <c r="AF70" i="8" s="1"/>
  <c r="AG70" i="8" s="1"/>
  <c r="AH70" i="8" s="1"/>
  <c r="AE52" i="8"/>
  <c r="AF52" i="8" s="1"/>
  <c r="AG52" i="8" s="1"/>
  <c r="AI52" i="8" s="1"/>
  <c r="AE60" i="8"/>
  <c r="AF60" i="8" s="1"/>
  <c r="AG60" i="8" s="1"/>
  <c r="AH60" i="8" s="1"/>
  <c r="AE55" i="8"/>
  <c r="AF55" i="8" s="1"/>
  <c r="AG55" i="8" s="1"/>
  <c r="AI55" i="8" s="1"/>
  <c r="AE47" i="8"/>
  <c r="AF47" i="8" s="1"/>
  <c r="AG47" i="8" s="1"/>
  <c r="AI47" i="8" s="1"/>
  <c r="AE69" i="8"/>
  <c r="AF69" i="8" s="1"/>
  <c r="AG69" i="8" s="1"/>
  <c r="AH69" i="8" s="1"/>
  <c r="AE45" i="8"/>
  <c r="AF45" i="8" s="1"/>
  <c r="AG45" i="8" s="1"/>
  <c r="AH45" i="8" s="1"/>
  <c r="AE53" i="8"/>
  <c r="AF53" i="8" s="1"/>
  <c r="AG53" i="8" s="1"/>
  <c r="AH53" i="8" s="1"/>
  <c r="AE72" i="9"/>
  <c r="AF72" i="9" s="1"/>
  <c r="AG72" i="9" s="1"/>
  <c r="AI72" i="9" s="1"/>
  <c r="AE57" i="8"/>
  <c r="AF57" i="8" s="1"/>
  <c r="AG57" i="8" s="1"/>
  <c r="AI57" i="8" s="1"/>
  <c r="AE71" i="8"/>
  <c r="AF71" i="8" s="1"/>
  <c r="AG71" i="8" s="1"/>
  <c r="AI71" i="8" s="1"/>
  <c r="AA11" i="8"/>
  <c r="AA14" i="8" s="1"/>
  <c r="AA12" i="8"/>
  <c r="AA15" i="8" s="1"/>
  <c r="AA13" i="8"/>
  <c r="AA16" i="8" s="1"/>
  <c r="AE53" i="9"/>
  <c r="AF53" i="9" s="1"/>
  <c r="AG53" i="9" s="1"/>
  <c r="AI53" i="9" s="1"/>
  <c r="AE52" i="6"/>
  <c r="AF52" i="6" s="1"/>
  <c r="AG52" i="6" s="1"/>
  <c r="AH52" i="6" s="1"/>
  <c r="AE56" i="9"/>
  <c r="AF56" i="9" s="1"/>
  <c r="AG56" i="9" s="1"/>
  <c r="AI56" i="9" s="1"/>
  <c r="AE64" i="9"/>
  <c r="AF64" i="9" s="1"/>
  <c r="AG64" i="9" s="1"/>
  <c r="AI64" i="9" s="1"/>
  <c r="AE50" i="9"/>
  <c r="AF50" i="9" s="1"/>
  <c r="AG50" i="9" s="1"/>
  <c r="AH50" i="9" s="1"/>
  <c r="AE61" i="6"/>
  <c r="AF61" i="6" s="1"/>
  <c r="AG61" i="6" s="1"/>
  <c r="AI61" i="6" s="1"/>
  <c r="AE45" i="9"/>
  <c r="AF45" i="9" s="1"/>
  <c r="AG45" i="9" s="1"/>
  <c r="AE60" i="6"/>
  <c r="AF60" i="6" s="1"/>
  <c r="AG60" i="6" s="1"/>
  <c r="AH60" i="6" s="1"/>
  <c r="AE65" i="9"/>
  <c r="AF65" i="9" s="1"/>
  <c r="AG65" i="9" s="1"/>
  <c r="AH65" i="9" s="1"/>
  <c r="AE59" i="6"/>
  <c r="AF59" i="6" s="1"/>
  <c r="AG59" i="6" s="1"/>
  <c r="AI59" i="6" s="1"/>
  <c r="AE63" i="8"/>
  <c r="AF63" i="8" s="1"/>
  <c r="AG63" i="8" s="1"/>
  <c r="AI63" i="8" s="1"/>
  <c r="AE57" i="6"/>
  <c r="AF57" i="6" s="1"/>
  <c r="AG57" i="6" s="1"/>
  <c r="AI57" i="6" s="1"/>
  <c r="AE66" i="6"/>
  <c r="AF66" i="6" s="1"/>
  <c r="AG66" i="6" s="1"/>
  <c r="AH66" i="6" s="1"/>
  <c r="AE72" i="6"/>
  <c r="AF72" i="6" s="1"/>
  <c r="AG72" i="6" s="1"/>
  <c r="AI72" i="6" s="1"/>
  <c r="AE51" i="6"/>
  <c r="AF51" i="6" s="1"/>
  <c r="AG51" i="6" s="1"/>
  <c r="AI51" i="6" s="1"/>
  <c r="AE71" i="6"/>
  <c r="AF71" i="6" s="1"/>
  <c r="AG71" i="6" s="1"/>
  <c r="AI71" i="6" s="1"/>
  <c r="AE56" i="6"/>
  <c r="AF56" i="6" s="1"/>
  <c r="AG56" i="6" s="1"/>
  <c r="AH56" i="6" s="1"/>
  <c r="AE67" i="6"/>
  <c r="AF67" i="6" s="1"/>
  <c r="AG67" i="6" s="1"/>
  <c r="AH67" i="6" s="1"/>
  <c r="AE46" i="6"/>
  <c r="AF46" i="6" s="1"/>
  <c r="AG46" i="6" s="1"/>
  <c r="AH46" i="6" s="1"/>
  <c r="AE47" i="6"/>
  <c r="AF47" i="6" s="1"/>
  <c r="AG47" i="6" s="1"/>
  <c r="AI47" i="6" s="1"/>
  <c r="AE63" i="6"/>
  <c r="AF63" i="6" s="1"/>
  <c r="AG63" i="6" s="1"/>
  <c r="AH63" i="6" s="1"/>
  <c r="AE55" i="6"/>
  <c r="AF55" i="6" s="1"/>
  <c r="AG55" i="6" s="1"/>
  <c r="AI55" i="6" s="1"/>
  <c r="AE64" i="6"/>
  <c r="AF64" i="6" s="1"/>
  <c r="AG64" i="6" s="1"/>
  <c r="AH64" i="6" s="1"/>
  <c r="AE58" i="6"/>
  <c r="AF58" i="6" s="1"/>
  <c r="AG58" i="6" s="1"/>
  <c r="AI58" i="6" s="1"/>
  <c r="AE62" i="6"/>
  <c r="AF62" i="6" s="1"/>
  <c r="AG62" i="6" s="1"/>
  <c r="AH62" i="6" s="1"/>
  <c r="AE68" i="6"/>
  <c r="AF68" i="6" s="1"/>
  <c r="AG68" i="6" s="1"/>
  <c r="AI68" i="6" s="1"/>
  <c r="AE48" i="6"/>
  <c r="AF48" i="6" s="1"/>
  <c r="AG48" i="6" s="1"/>
  <c r="AH48" i="6" s="1"/>
  <c r="AE65" i="6"/>
  <c r="AF65" i="6" s="1"/>
  <c r="AG65" i="6" s="1"/>
  <c r="AI65" i="6" s="1"/>
  <c r="AI70" i="6"/>
  <c r="AE45" i="6"/>
  <c r="AF45" i="6" s="1"/>
  <c r="AG45" i="6" s="1"/>
  <c r="AI45" i="6" s="1"/>
  <c r="AE47" i="9"/>
  <c r="AF47" i="9" s="1"/>
  <c r="AG47" i="9" s="1"/>
  <c r="AH47" i="9" s="1"/>
  <c r="AE51" i="9"/>
  <c r="AF51" i="9" s="1"/>
  <c r="AG51" i="9" s="1"/>
  <c r="AI51" i="9" s="1"/>
  <c r="AE62" i="9"/>
  <c r="AF62" i="9" s="1"/>
  <c r="AG62" i="9" s="1"/>
  <c r="AH62" i="9" s="1"/>
  <c r="AE59" i="9"/>
  <c r="AF59" i="9" s="1"/>
  <c r="AG59" i="9" s="1"/>
  <c r="AH59" i="9" s="1"/>
  <c r="AE55" i="9"/>
  <c r="AF55" i="9" s="1"/>
  <c r="AG55" i="9" s="1"/>
  <c r="AH55" i="9" s="1"/>
  <c r="AE69" i="9"/>
  <c r="AF69" i="9" s="1"/>
  <c r="AG69" i="9" s="1"/>
  <c r="AI69" i="9" s="1"/>
  <c r="AE70" i="9"/>
  <c r="AF70" i="9" s="1"/>
  <c r="AG70" i="9" s="1"/>
  <c r="AI70" i="9" s="1"/>
  <c r="AE63" i="9"/>
  <c r="AF63" i="9" s="1"/>
  <c r="AG63" i="9" s="1"/>
  <c r="AI63" i="9" s="1"/>
  <c r="AE54" i="9"/>
  <c r="AF54" i="9" s="1"/>
  <c r="AG54" i="9" s="1"/>
  <c r="AI54" i="9" s="1"/>
  <c r="AE52" i="9"/>
  <c r="AF52" i="9" s="1"/>
  <c r="AG52" i="9" s="1"/>
  <c r="AI52" i="9" s="1"/>
  <c r="AE57" i="9"/>
  <c r="AF57" i="9" s="1"/>
  <c r="AG57" i="9" s="1"/>
  <c r="AH57" i="9" s="1"/>
  <c r="AE61" i="9"/>
  <c r="AF61" i="9" s="1"/>
  <c r="AG61" i="9" s="1"/>
  <c r="AH61" i="9" s="1"/>
  <c r="AE67" i="9"/>
  <c r="AF67" i="9" s="1"/>
  <c r="AG67" i="9" s="1"/>
  <c r="AI67" i="9" s="1"/>
  <c r="AE71" i="9"/>
  <c r="AF71" i="9" s="1"/>
  <c r="AG71" i="9" s="1"/>
  <c r="AH71" i="9" s="1"/>
  <c r="AE58" i="9"/>
  <c r="AF58" i="9" s="1"/>
  <c r="AG58" i="9" s="1"/>
  <c r="AH58" i="9" s="1"/>
  <c r="AE46" i="9"/>
  <c r="AF46" i="9" s="1"/>
  <c r="AG46" i="9" s="1"/>
  <c r="AH46" i="9" s="1"/>
  <c r="AE66" i="9"/>
  <c r="AF66" i="9" s="1"/>
  <c r="AG66" i="9" s="1"/>
  <c r="AI66" i="9" s="1"/>
  <c r="AE49" i="9"/>
  <c r="AF49" i="9" s="1"/>
  <c r="AG49" i="9" s="1"/>
  <c r="AH49" i="9" s="1"/>
  <c r="AI65" i="7"/>
  <c r="AH65" i="7"/>
  <c r="AI70" i="5"/>
  <c r="AH70" i="5"/>
  <c r="AI49" i="5"/>
  <c r="AH49" i="5"/>
  <c r="AH52" i="5"/>
  <c r="AI52" i="5"/>
  <c r="AH58" i="11"/>
  <c r="AI58" i="11"/>
  <c r="AH56" i="11"/>
  <c r="AI56" i="11"/>
  <c r="AH67" i="11"/>
  <c r="AI67" i="11"/>
  <c r="AI46" i="11"/>
  <c r="AH46" i="11"/>
  <c r="AH66" i="5"/>
  <c r="AI66" i="5"/>
  <c r="AH64" i="5"/>
  <c r="AI64" i="5"/>
  <c r="AH68" i="5"/>
  <c r="AI68" i="5"/>
  <c r="AI60" i="5"/>
  <c r="AH60" i="5"/>
  <c r="AI58" i="5"/>
  <c r="AH58" i="5"/>
  <c r="AI67" i="5"/>
  <c r="AH67" i="5"/>
  <c r="AH56" i="5"/>
  <c r="AI56" i="5"/>
  <c r="AH60" i="9"/>
  <c r="AI60" i="9"/>
  <c r="AH60" i="11"/>
  <c r="AI60" i="11"/>
  <c r="AI61" i="11"/>
  <c r="AH61" i="11"/>
  <c r="AI54" i="11"/>
  <c r="AH54" i="11"/>
  <c r="AI63" i="11"/>
  <c r="AH63" i="11"/>
  <c r="AH49" i="11"/>
  <c r="AI49" i="11"/>
  <c r="AH57" i="11"/>
  <c r="AI57" i="11"/>
  <c r="AI50" i="11"/>
  <c r="AH50" i="11"/>
  <c r="AI53" i="5"/>
  <c r="AH53" i="5"/>
  <c r="AH63" i="5"/>
  <c r="AI63" i="5"/>
  <c r="AI51" i="5"/>
  <c r="AH51" i="5"/>
  <c r="AI55" i="11"/>
  <c r="AH55" i="11"/>
  <c r="AH65" i="11"/>
  <c r="AI65" i="11"/>
  <c r="AI66" i="11"/>
  <c r="AH66" i="11"/>
  <c r="AH71" i="5"/>
  <c r="AI71" i="5"/>
  <c r="AH65" i="5"/>
  <c r="AI65" i="5"/>
  <c r="AI59" i="5"/>
  <c r="AH59" i="5"/>
  <c r="AI57" i="5"/>
  <c r="AH57" i="5"/>
  <c r="AI61" i="5"/>
  <c r="AH61" i="5"/>
  <c r="AH47" i="5"/>
  <c r="AI47" i="5"/>
  <c r="AH48" i="5"/>
  <c r="AI48" i="5"/>
  <c r="AI70" i="11"/>
  <c r="AH70" i="11"/>
  <c r="AF45" i="11"/>
  <c r="AG45" i="11" s="1"/>
  <c r="AA5" i="11"/>
  <c r="AA6" i="11" s="1"/>
  <c r="AH62" i="11"/>
  <c r="AI62" i="11"/>
  <c r="AH48" i="11"/>
  <c r="AI48" i="11"/>
  <c r="AI71" i="11"/>
  <c r="AH71" i="11"/>
  <c r="AI59" i="11"/>
  <c r="AH59" i="11"/>
  <c r="AH52" i="11"/>
  <c r="AI52" i="11"/>
  <c r="AH55" i="5"/>
  <c r="AI55" i="5"/>
  <c r="AI46" i="5"/>
  <c r="AH46" i="5"/>
  <c r="AH72" i="5"/>
  <c r="AI72" i="5"/>
  <c r="AI69" i="5"/>
  <c r="AH69" i="5"/>
  <c r="AI50" i="5"/>
  <c r="AH50" i="5"/>
  <c r="AI62" i="5"/>
  <c r="AH62" i="5"/>
  <c r="AF45" i="5"/>
  <c r="AG45" i="5" s="1"/>
  <c r="AA5" i="5"/>
  <c r="AA6" i="5" s="1"/>
  <c r="AI54" i="5"/>
  <c r="AH54" i="5"/>
  <c r="AI51" i="11"/>
  <c r="AH51" i="11"/>
  <c r="AH53" i="11"/>
  <c r="AI53" i="11"/>
  <c r="AH69" i="11"/>
  <c r="AI69" i="11"/>
  <c r="AI68" i="11"/>
  <c r="AH68" i="11"/>
  <c r="AH72" i="11"/>
  <c r="AI72" i="11"/>
  <c r="AI47" i="11"/>
  <c r="AH47" i="11"/>
  <c r="AI64" i="11"/>
  <c r="AH64" i="11"/>
  <c r="AI68" i="7" l="1"/>
  <c r="AH71" i="7"/>
  <c r="AI66" i="7"/>
  <c r="AH56" i="7"/>
  <c r="AI61" i="7"/>
  <c r="AI69" i="7"/>
  <c r="AI72" i="7"/>
  <c r="AH58" i="7"/>
  <c r="AH54" i="7"/>
  <c r="AI53" i="7"/>
  <c r="AI46" i="7"/>
  <c r="AH51" i="7"/>
  <c r="AI70" i="8"/>
  <c r="AH49" i="7"/>
  <c r="AH60" i="7"/>
  <c r="AI50" i="7"/>
  <c r="AI64" i="7"/>
  <c r="AI63" i="7"/>
  <c r="AI57" i="7"/>
  <c r="AI62" i="7"/>
  <c r="AH48" i="9"/>
  <c r="AH47" i="7"/>
  <c r="AH67" i="7"/>
  <c r="AI48" i="7"/>
  <c r="AI52" i="7"/>
  <c r="AH70" i="7"/>
  <c r="AI49" i="8"/>
  <c r="AI55" i="7"/>
  <c r="AI72" i="8"/>
  <c r="AI59" i="7"/>
  <c r="AI68" i="9"/>
  <c r="AH51" i="8"/>
  <c r="AA5" i="7"/>
  <c r="AA6" i="7" s="1"/>
  <c r="AH52" i="8"/>
  <c r="AH72" i="9"/>
  <c r="AI53" i="6"/>
  <c r="AI54" i="6"/>
  <c r="AH69" i="6"/>
  <c r="AH58" i="8"/>
  <c r="AI49" i="6"/>
  <c r="AH65" i="8"/>
  <c r="AI56" i="8"/>
  <c r="AI50" i="6"/>
  <c r="AI60" i="8"/>
  <c r="AH66" i="8"/>
  <c r="AH59" i="8"/>
  <c r="AI62" i="6"/>
  <c r="AH67" i="8"/>
  <c r="AH68" i="6"/>
  <c r="AH54" i="8"/>
  <c r="AH61" i="6"/>
  <c r="AI61" i="8"/>
  <c r="AI66" i="6"/>
  <c r="AI61" i="9"/>
  <c r="AI64" i="8"/>
  <c r="AH71" i="6"/>
  <c r="AI46" i="8"/>
  <c r="AI48" i="8"/>
  <c r="AH56" i="9"/>
  <c r="AI55" i="9"/>
  <c r="AH70" i="9"/>
  <c r="AH53" i="9"/>
  <c r="AH55" i="8"/>
  <c r="AI48" i="6"/>
  <c r="AI64" i="6"/>
  <c r="AH63" i="9"/>
  <c r="AH62" i="8"/>
  <c r="AH45" i="6"/>
  <c r="AH72" i="6"/>
  <c r="AH63" i="8"/>
  <c r="AI52" i="6"/>
  <c r="AI68" i="8"/>
  <c r="AI45" i="8"/>
  <c r="AH57" i="8"/>
  <c r="AI57" i="9"/>
  <c r="AH51" i="9"/>
  <c r="AI50" i="9"/>
  <c r="AH64" i="9"/>
  <c r="AH47" i="6"/>
  <c r="AI53" i="8"/>
  <c r="AI60" i="6"/>
  <c r="AI71" i="9"/>
  <c r="AI65" i="9"/>
  <c r="AH51" i="6"/>
  <c r="AI47" i="9"/>
  <c r="AH47" i="8"/>
  <c r="AA7" i="8"/>
  <c r="AA17" i="8" s="1"/>
  <c r="AI46" i="6"/>
  <c r="AH71" i="8"/>
  <c r="AI69" i="8"/>
  <c r="AA5" i="8"/>
  <c r="AA6" i="8" s="1"/>
  <c r="AI59" i="9"/>
  <c r="AH55" i="6"/>
  <c r="AH57" i="6"/>
  <c r="AH59" i="6"/>
  <c r="AI56" i="6"/>
  <c r="AH65" i="6"/>
  <c r="AA5" i="6"/>
  <c r="AA6" i="6" s="1"/>
  <c r="AH58" i="6"/>
  <c r="AI63" i="6"/>
  <c r="AH69" i="9"/>
  <c r="AI62" i="9"/>
  <c r="AA7" i="6"/>
  <c r="AA17" i="6" s="1"/>
  <c r="AH54" i="9"/>
  <c r="AI67" i="6"/>
  <c r="AI58" i="9"/>
  <c r="AI49" i="9"/>
  <c r="AH52" i="9"/>
  <c r="AH67" i="9"/>
  <c r="AI46" i="9"/>
  <c r="AH66" i="9"/>
  <c r="AA5" i="9"/>
  <c r="AA6" i="9" s="1"/>
  <c r="AH45" i="7"/>
  <c r="AA7" i="7"/>
  <c r="AA17" i="7" s="1"/>
  <c r="AI45" i="7"/>
  <c r="AA7" i="9"/>
  <c r="AA17" i="9" s="1"/>
  <c r="AH45" i="9"/>
  <c r="AI45" i="9"/>
  <c r="AI45" i="11"/>
  <c r="AA9" i="11" s="1"/>
  <c r="AA19" i="11" s="1"/>
  <c r="AA7" i="11"/>
  <c r="AA17" i="11" s="1"/>
  <c r="AA22" i="11" s="1"/>
  <c r="AH45" i="11"/>
  <c r="AA8" i="11" s="1"/>
  <c r="AA18" i="11" s="1"/>
  <c r="AH45" i="5"/>
  <c r="AA8" i="5" s="1"/>
  <c r="AA18" i="5" s="1"/>
  <c r="AI45" i="5"/>
  <c r="AA9" i="5" s="1"/>
  <c r="AA19" i="5" s="1"/>
  <c r="AA7" i="5"/>
  <c r="AA17" i="5" s="1"/>
  <c r="AA22" i="5" s="1"/>
  <c r="AD1" i="4"/>
  <c r="AD39" i="4"/>
  <c r="AD22" i="4"/>
  <c r="AD13" i="4"/>
  <c r="AD19" i="4"/>
  <c r="AD35" i="4"/>
  <c r="AD8" i="4"/>
  <c r="AD3" i="4"/>
  <c r="AD27" i="4"/>
  <c r="AD31" i="4"/>
  <c r="AD32" i="4"/>
  <c r="AD26" i="4"/>
  <c r="AD4" i="4"/>
  <c r="AD23" i="4"/>
  <c r="AD11" i="4"/>
  <c r="AD24" i="4"/>
  <c r="AD33" i="4"/>
  <c r="AD25" i="4"/>
  <c r="AD16" i="4"/>
  <c r="AD21" i="4"/>
  <c r="AD38" i="4"/>
  <c r="AD14" i="4"/>
  <c r="AD36" i="4"/>
  <c r="AC42" i="4"/>
  <c r="AD17" i="4"/>
  <c r="AD18" i="4"/>
  <c r="AD37" i="4"/>
  <c r="AD7" i="4"/>
  <c r="AC41" i="4"/>
  <c r="AD28" i="4"/>
  <c r="AD20" i="4"/>
  <c r="AD15" i="4"/>
  <c r="AD9" i="4"/>
  <c r="AD34" i="4"/>
  <c r="AD10" i="4"/>
  <c r="AD6" i="4"/>
  <c r="AD5" i="4"/>
  <c r="AD29" i="4"/>
  <c r="AD30" i="4"/>
  <c r="AD12" i="4"/>
  <c r="AA8" i="7" l="1"/>
  <c r="AA18" i="7" s="1"/>
  <c r="AA9" i="7"/>
  <c r="AA19" i="7" s="1"/>
  <c r="AA22" i="7"/>
  <c r="AA9" i="8"/>
  <c r="AA19" i="8" s="1"/>
  <c r="AA8" i="8"/>
  <c r="AA18" i="8" s="1"/>
  <c r="AA22" i="6"/>
  <c r="AA8" i="6"/>
  <c r="AA18" i="6" s="1"/>
  <c r="AA22" i="8"/>
  <c r="AA9" i="6"/>
  <c r="AA19" i="6" s="1"/>
  <c r="AA8" i="9"/>
  <c r="AA18" i="9" s="1"/>
  <c r="AA9" i="9"/>
  <c r="AA19" i="9" s="1"/>
  <c r="AA22" i="9"/>
  <c r="AA21" i="5"/>
  <c r="AA24" i="5" s="1"/>
  <c r="AA20" i="5"/>
  <c r="AA23" i="5" s="1"/>
  <c r="AA20" i="11"/>
  <c r="AA23" i="11" s="1"/>
  <c r="AA21" i="11"/>
  <c r="AA24" i="11" s="1"/>
  <c r="AJ1" i="4"/>
  <c r="AJ19" i="4"/>
  <c r="AJ12" i="4"/>
  <c r="AJ23" i="4"/>
  <c r="AE6" i="4" a="1"/>
  <c r="AI41" i="4"/>
  <c r="AE19" i="4" a="1"/>
  <c r="AE35" i="4" a="1"/>
  <c r="AE33" i="4" a="1"/>
  <c r="AE32" i="4" a="1"/>
  <c r="AE16" i="4" a="1"/>
  <c r="AD41" i="4" a="1"/>
  <c r="AJ15" i="4"/>
  <c r="AE21" i="4" a="1"/>
  <c r="AJ30" i="4"/>
  <c r="AJ25" i="4"/>
  <c r="AJ35" i="4"/>
  <c r="AJ4" i="4"/>
  <c r="AJ34" i="4"/>
  <c r="AE8" i="4" a="1"/>
  <c r="AJ38" i="4"/>
  <c r="AJ36" i="4"/>
  <c r="AE22" i="4" a="1"/>
  <c r="AJ39" i="4"/>
  <c r="AJ10" i="4"/>
  <c r="AE24" i="4" a="1"/>
  <c r="AE29" i="4" a="1"/>
  <c r="AJ8" i="4"/>
  <c r="AE26" i="4" a="1"/>
  <c r="AJ33" i="4"/>
  <c r="AE25" i="4" a="1"/>
  <c r="AE12" i="4" a="1"/>
  <c r="AE13" i="4" a="1"/>
  <c r="AJ5" i="4"/>
  <c r="AJ37" i="4"/>
  <c r="AJ26" i="4"/>
  <c r="AJ31" i="4"/>
  <c r="AE37" i="4" a="1"/>
  <c r="AE9" i="4" a="1"/>
  <c r="AJ29" i="4"/>
  <c r="AJ9" i="4"/>
  <c r="AJ7" i="4"/>
  <c r="AJ14" i="4"/>
  <c r="AE36" i="4" a="1"/>
  <c r="AE34" i="4" a="1"/>
  <c r="AE4" i="4" a="1"/>
  <c r="AE14" i="4" a="1"/>
  <c r="AE17" i="4" a="1"/>
  <c r="AJ22" i="4"/>
  <c r="AJ28" i="4"/>
  <c r="AE38" i="4" a="1"/>
  <c r="AJ32" i="4"/>
  <c r="AE28" i="4" a="1"/>
  <c r="AJ17" i="4"/>
  <c r="AJ18" i="4"/>
  <c r="AJ6" i="4"/>
  <c r="AE15" i="4" a="1"/>
  <c r="AJ20" i="4"/>
  <c r="AJ16" i="4"/>
  <c r="AJ3" i="4"/>
  <c r="AJ21" i="4"/>
  <c r="AJ27" i="4"/>
  <c r="AE39" i="4" a="1"/>
  <c r="AJ13" i="4"/>
  <c r="AE5" i="4" a="1"/>
  <c r="AI42" i="4"/>
  <c r="AD42" i="4" a="1"/>
  <c r="AJ11" i="4"/>
  <c r="AE27" i="4" a="1"/>
  <c r="AE23" i="4" a="1"/>
  <c r="AJ24" i="4"/>
  <c r="AE7" i="4" a="1"/>
  <c r="AE11" i="4" a="1"/>
  <c r="AE30" i="4" a="1"/>
  <c r="AE3" i="4" a="1"/>
  <c r="AE31" i="4" a="1"/>
  <c r="AE18" i="4" a="1"/>
  <c r="AE20" i="4" a="1"/>
  <c r="AE10" i="4" a="1"/>
  <c r="AA21" i="9" l="1"/>
  <c r="AA24" i="9" s="1"/>
  <c r="AA20" i="8"/>
  <c r="AA23" i="8" s="1"/>
  <c r="AA21" i="7"/>
  <c r="AA24" i="7" s="1"/>
  <c r="AA20" i="7"/>
  <c r="AA23" i="7" s="1"/>
  <c r="AA20" i="6"/>
  <c r="AA23" i="6" s="1"/>
  <c r="AA21" i="6"/>
  <c r="AA24" i="6" s="1"/>
  <c r="AA21" i="8"/>
  <c r="AA24" i="8" s="1"/>
  <c r="AA20" i="9"/>
  <c r="AA23" i="9" s="1"/>
  <c r="AF42" i="4"/>
  <c r="AD42" i="4"/>
  <c r="AE42" i="4"/>
  <c r="AD41" i="4"/>
  <c r="AE41" i="4"/>
  <c r="AF41" i="4"/>
  <c r="AF39" i="4"/>
  <c r="AE39" i="4"/>
  <c r="AG39" i="4"/>
  <c r="AE15" i="4"/>
  <c r="AG15" i="4"/>
  <c r="AF15" i="4"/>
  <c r="AF4" i="4"/>
  <c r="AG4" i="4"/>
  <c r="AE4" i="4"/>
  <c r="AF29" i="4"/>
  <c r="AE29" i="4"/>
  <c r="AG29" i="4"/>
  <c r="AE7" i="4"/>
  <c r="AF7" i="4"/>
  <c r="AG7" i="4"/>
  <c r="AF31" i="4"/>
  <c r="AG31" i="4"/>
  <c r="AE31" i="4"/>
  <c r="AE30" i="4"/>
  <c r="AF30" i="4"/>
  <c r="AG30" i="4"/>
  <c r="AE3" i="4"/>
  <c r="AF3" i="4"/>
  <c r="AG3" i="4"/>
  <c r="AG18" i="4"/>
  <c r="AE18" i="4"/>
  <c r="AF18" i="4"/>
  <c r="AF5" i="4"/>
  <c r="AG5" i="4"/>
  <c r="AE5" i="4"/>
  <c r="AF26" i="4"/>
  <c r="AG26" i="4"/>
  <c r="AE26" i="4"/>
  <c r="AG19" i="4"/>
  <c r="AE19" i="4"/>
  <c r="AF19" i="4"/>
  <c r="AF12" i="4"/>
  <c r="AE12" i="4"/>
  <c r="AG12" i="4"/>
  <c r="AG14" i="4"/>
  <c r="AE14" i="4"/>
  <c r="AF14" i="4"/>
  <c r="AE21" i="4"/>
  <c r="AF21" i="4"/>
  <c r="AG21" i="4"/>
  <c r="AG36" i="4"/>
  <c r="AF36" i="4"/>
  <c r="AE36" i="4"/>
  <c r="AE8" i="4"/>
  <c r="AF8" i="4"/>
  <c r="AG8" i="4"/>
  <c r="AG20" i="4"/>
  <c r="AE20" i="4"/>
  <c r="AF20" i="4"/>
  <c r="AE11" i="4"/>
  <c r="AF11" i="4"/>
  <c r="AG11" i="4"/>
  <c r="AE9" i="4"/>
  <c r="AF9" i="4"/>
  <c r="AG9" i="4"/>
  <c r="AE33" i="4"/>
  <c r="AF33" i="4"/>
  <c r="AG33" i="4"/>
  <c r="AF32" i="4"/>
  <c r="AG32" i="4"/>
  <c r="AE32" i="4"/>
  <c r="AF27" i="4"/>
  <c r="AE27" i="4"/>
  <c r="AG27" i="4"/>
  <c r="AG28" i="4"/>
  <c r="AF28" i="4"/>
  <c r="AE28" i="4"/>
  <c r="AF22" i="4"/>
  <c r="AE22" i="4"/>
  <c r="AG22" i="4"/>
  <c r="AE13" i="4"/>
  <c r="AG13" i="4"/>
  <c r="AF13" i="4"/>
  <c r="AE6" i="4"/>
  <c r="AF6" i="4"/>
  <c r="AG6" i="4"/>
  <c r="AE38" i="4"/>
  <c r="AF38" i="4"/>
  <c r="AG38" i="4"/>
  <c r="AG23" i="4"/>
  <c r="AE23" i="4"/>
  <c r="AF23" i="4"/>
  <c r="AE34" i="4"/>
  <c r="AF34" i="4"/>
  <c r="AG34" i="4"/>
  <c r="AE25" i="4"/>
  <c r="AG25" i="4"/>
  <c r="AF25" i="4"/>
  <c r="AF24" i="4"/>
  <c r="AG24" i="4"/>
  <c r="AE24" i="4"/>
  <c r="AF37" i="4"/>
  <c r="AG37" i="4"/>
  <c r="AE37" i="4"/>
  <c r="AF17" i="4"/>
  <c r="AE17" i="4"/>
  <c r="AG17" i="4"/>
  <c r="AF35" i="4"/>
  <c r="AE35" i="4"/>
  <c r="AG35" i="4"/>
  <c r="AE10" i="4"/>
  <c r="AG10" i="4"/>
  <c r="AF10" i="4"/>
  <c r="AE16" i="4"/>
  <c r="AF16" i="4"/>
  <c r="AG16" i="4"/>
  <c r="AK12" i="4" a="1"/>
  <c r="AK10" i="4" a="1"/>
  <c r="AK8" i="4" a="1"/>
  <c r="AK30" i="4" a="1"/>
  <c r="AK14" i="4" a="1"/>
  <c r="AK25" i="4" a="1"/>
  <c r="AK28" i="4" a="1"/>
  <c r="AK13" i="4" a="1"/>
  <c r="AK16" i="4" a="1"/>
  <c r="AK29" i="4" a="1"/>
  <c r="AK31" i="4" a="1"/>
  <c r="AK11" i="4" a="1"/>
  <c r="AK15" i="4" a="1"/>
  <c r="AK33" i="4" a="1"/>
  <c r="AK37" i="4" a="1"/>
  <c r="AK6" i="4" a="1"/>
  <c r="AK3" i="4" a="1"/>
  <c r="AK23" i="4" a="1"/>
  <c r="AK22" i="4" a="1"/>
  <c r="AK9" i="4" a="1"/>
  <c r="AK27" i="4" a="1"/>
  <c r="AK17" i="4" a="1"/>
  <c r="AK36" i="4" a="1"/>
  <c r="AK19" i="4" a="1"/>
  <c r="AK7" i="4" a="1"/>
  <c r="AK35" i="4" a="1"/>
  <c r="AK38" i="4" a="1"/>
  <c r="AK4" i="4" a="1"/>
  <c r="AK20" i="4" a="1"/>
  <c r="AK5" i="4" a="1"/>
  <c r="AK34" i="4" a="1"/>
  <c r="AJ41" i="4" a="1"/>
  <c r="AJ42" i="4" a="1"/>
  <c r="AK26" i="4" a="1"/>
  <c r="AK18" i="4" a="1"/>
  <c r="AK32" i="4" a="1"/>
  <c r="AK39" i="4" a="1"/>
  <c r="AK21" i="4" a="1"/>
  <c r="AK24" i="4" a="1"/>
  <c r="AG41" i="4" l="1"/>
  <c r="AG42" i="4"/>
  <c r="AM15" i="4"/>
  <c r="AL15" i="4"/>
  <c r="AK15" i="4"/>
  <c r="AM34" i="4"/>
  <c r="AL34" i="4"/>
  <c r="AK34" i="4"/>
  <c r="AM20" i="4"/>
  <c r="AK20" i="4"/>
  <c r="AL20" i="4"/>
  <c r="AK10" i="4"/>
  <c r="AL10" i="4"/>
  <c r="AM10" i="4"/>
  <c r="AK22" i="4"/>
  <c r="AM22" i="4"/>
  <c r="AL22" i="4"/>
  <c r="AK16" i="4"/>
  <c r="AM16" i="4"/>
  <c r="AL16" i="4"/>
  <c r="AK26" i="4"/>
  <c r="AL26" i="4"/>
  <c r="AM26" i="4"/>
  <c r="AM25" i="4"/>
  <c r="AK25" i="4"/>
  <c r="AL25" i="4"/>
  <c r="AM5" i="4"/>
  <c r="AK5" i="4"/>
  <c r="AL5" i="4"/>
  <c r="AK17" i="4"/>
  <c r="AL17" i="4"/>
  <c r="AM17" i="4"/>
  <c r="AK32" i="4"/>
  <c r="AL32" i="4"/>
  <c r="AM32" i="4"/>
  <c r="AM6" i="4"/>
  <c r="AL6" i="4"/>
  <c r="AK6" i="4"/>
  <c r="AK36" i="4"/>
  <c r="AM36" i="4"/>
  <c r="AL36" i="4"/>
  <c r="AM9" i="4"/>
  <c r="AK9" i="4"/>
  <c r="AL9" i="4"/>
  <c r="AL39" i="4"/>
  <c r="AK39" i="4"/>
  <c r="AM39" i="4"/>
  <c r="AK24" i="4"/>
  <c r="AL24" i="4"/>
  <c r="AM24" i="4"/>
  <c r="AL31" i="4"/>
  <c r="AM31" i="4"/>
  <c r="AK31" i="4"/>
  <c r="AK4" i="4"/>
  <c r="AL4" i="4"/>
  <c r="AM4" i="4"/>
  <c r="AM21" i="4"/>
  <c r="AL21" i="4"/>
  <c r="AK21" i="4"/>
  <c r="AK14" i="4"/>
  <c r="AL14" i="4"/>
  <c r="AM14" i="4"/>
  <c r="AK8" i="4"/>
  <c r="AM8" i="4"/>
  <c r="AL8" i="4"/>
  <c r="AM11" i="4"/>
  <c r="AL11" i="4"/>
  <c r="AK11" i="4"/>
  <c r="AL18" i="4"/>
  <c r="AM18" i="4"/>
  <c r="AK18" i="4"/>
  <c r="AL28" i="4"/>
  <c r="AM28" i="4"/>
  <c r="AK28" i="4"/>
  <c r="AM29" i="4"/>
  <c r="AL29" i="4"/>
  <c r="AK29" i="4"/>
  <c r="AL27" i="4"/>
  <c r="AK27" i="4"/>
  <c r="AM27" i="4"/>
  <c r="AL37" i="4"/>
  <c r="AK37" i="4"/>
  <c r="AM37" i="4"/>
  <c r="AJ41" i="4"/>
  <c r="AK41" i="4"/>
  <c r="AL41" i="4"/>
  <c r="AM19" i="4"/>
  <c r="AK19" i="4"/>
  <c r="AL19" i="4"/>
  <c r="AM12" i="4"/>
  <c r="AL12" i="4"/>
  <c r="AK12" i="4"/>
  <c r="AK30" i="4"/>
  <c r="AM30" i="4"/>
  <c r="AL30" i="4"/>
  <c r="AK23" i="4"/>
  <c r="AL23" i="4"/>
  <c r="AM23" i="4"/>
  <c r="AL13" i="4"/>
  <c r="AM13" i="4"/>
  <c r="AK13" i="4"/>
  <c r="AM33" i="4"/>
  <c r="AK33" i="4"/>
  <c r="AL33" i="4"/>
  <c r="AL7" i="4"/>
  <c r="AM7" i="4"/>
  <c r="AK7" i="4"/>
  <c r="AL35" i="4"/>
  <c r="AM35" i="4"/>
  <c r="AK35" i="4"/>
  <c r="AK42" i="4"/>
  <c r="AL42" i="4"/>
  <c r="AJ42" i="4"/>
  <c r="AL38" i="4"/>
  <c r="AM38" i="4"/>
  <c r="AK38" i="4"/>
  <c r="AM3" i="4"/>
  <c r="AL3" i="4"/>
  <c r="AK3" i="4"/>
  <c r="X20" i="10"/>
  <c r="X21" i="10" s="1"/>
  <c r="H45" i="10" a="1"/>
  <c r="AM42" i="4" l="1"/>
  <c r="AM41" i="4"/>
  <c r="I46" i="10"/>
  <c r="H49" i="10"/>
  <c r="H52" i="10"/>
  <c r="I47" i="10"/>
  <c r="I45" i="10"/>
  <c r="I51" i="10"/>
  <c r="I52" i="10"/>
  <c r="H45" i="10"/>
  <c r="I48" i="10"/>
  <c r="H51" i="10"/>
  <c r="I49" i="10"/>
  <c r="I50" i="10"/>
  <c r="H46" i="10"/>
  <c r="H47" i="10"/>
  <c r="H53" i="10"/>
  <c r="H50" i="10"/>
  <c r="H48" i="10"/>
  <c r="I53" i="10"/>
  <c r="I4" i="10" a="1"/>
  <c r="K50" i="10" l="1"/>
  <c r="J50" i="10"/>
  <c r="I4" i="10"/>
  <c r="K4" i="10"/>
  <c r="J4" i="10"/>
  <c r="K48" i="10"/>
  <c r="J48" i="10"/>
  <c r="K46" i="10"/>
  <c r="J46" i="10"/>
  <c r="J45" i="10"/>
  <c r="K45" i="10"/>
  <c r="AE65" i="10"/>
  <c r="AF65" i="10" s="1"/>
  <c r="AG65" i="10" s="1"/>
  <c r="AE60" i="10"/>
  <c r="AF60" i="10" s="1"/>
  <c r="AG60" i="10" s="1"/>
  <c r="AE48" i="10"/>
  <c r="AF48" i="10" s="1"/>
  <c r="AG48" i="10" s="1"/>
  <c r="AE59" i="10"/>
  <c r="AF59" i="10" s="1"/>
  <c r="AG59" i="10" s="1"/>
  <c r="AE51" i="10"/>
  <c r="AF51" i="10" s="1"/>
  <c r="AG51" i="10" s="1"/>
  <c r="AE63" i="10"/>
  <c r="AF63" i="10" s="1"/>
  <c r="AG63" i="10" s="1"/>
  <c r="AE52" i="10"/>
  <c r="AF52" i="10" s="1"/>
  <c r="AG52" i="10" s="1"/>
  <c r="AE46" i="10"/>
  <c r="AF46" i="10" s="1"/>
  <c r="AG46" i="10" s="1"/>
  <c r="AE45" i="10"/>
  <c r="AE55" i="10"/>
  <c r="AF55" i="10" s="1"/>
  <c r="AG55" i="10" s="1"/>
  <c r="AE67" i="10"/>
  <c r="AF67" i="10" s="1"/>
  <c r="AG67" i="10" s="1"/>
  <c r="AE49" i="10"/>
  <c r="AF49" i="10" s="1"/>
  <c r="AG49" i="10" s="1"/>
  <c r="AE69" i="10"/>
  <c r="AF69" i="10" s="1"/>
  <c r="AG69" i="10" s="1"/>
  <c r="AE68" i="10"/>
  <c r="AF68" i="10" s="1"/>
  <c r="AG68" i="10" s="1"/>
  <c r="AE56" i="10"/>
  <c r="AF56" i="10" s="1"/>
  <c r="AG56" i="10" s="1"/>
  <c r="AE58" i="10"/>
  <c r="AF58" i="10" s="1"/>
  <c r="AG58" i="10" s="1"/>
  <c r="AE66" i="10"/>
  <c r="AF66" i="10" s="1"/>
  <c r="AG66" i="10" s="1"/>
  <c r="AE50" i="10"/>
  <c r="AF50" i="10" s="1"/>
  <c r="AG50" i="10" s="1"/>
  <c r="AE70" i="10"/>
  <c r="AF70" i="10" s="1"/>
  <c r="AG70" i="10" s="1"/>
  <c r="AE57" i="10"/>
  <c r="AF57" i="10" s="1"/>
  <c r="AG57" i="10" s="1"/>
  <c r="AE64" i="10"/>
  <c r="AF64" i="10" s="1"/>
  <c r="AG64" i="10" s="1"/>
  <c r="AE54" i="10"/>
  <c r="AF54" i="10" s="1"/>
  <c r="AG54" i="10" s="1"/>
  <c r="AE62" i="10"/>
  <c r="AF62" i="10" s="1"/>
  <c r="AG62" i="10" s="1"/>
  <c r="AE53" i="10"/>
  <c r="AF53" i="10" s="1"/>
  <c r="AG53" i="10" s="1"/>
  <c r="AE61" i="10"/>
  <c r="AF61" i="10" s="1"/>
  <c r="AG61" i="10" s="1"/>
  <c r="AE47" i="10"/>
  <c r="AF47" i="10" s="1"/>
  <c r="AG47" i="10" s="1"/>
  <c r="AE72" i="10"/>
  <c r="AF72" i="10" s="1"/>
  <c r="AG72" i="10" s="1"/>
  <c r="AE71" i="10"/>
  <c r="AF71" i="10" s="1"/>
  <c r="AG71" i="10" s="1"/>
  <c r="J53" i="10"/>
  <c r="K53" i="10"/>
  <c r="J52" i="10"/>
  <c r="K52" i="10"/>
  <c r="K47" i="10"/>
  <c r="J47" i="10"/>
  <c r="J51" i="10"/>
  <c r="K51" i="10"/>
  <c r="K49" i="10"/>
  <c r="J49" i="10"/>
  <c r="AA11" i="10" a="1"/>
  <c r="AA13" i="10" l="1"/>
  <c r="AA16" i="10" s="1"/>
  <c r="AA12" i="10"/>
  <c r="AA15" i="10" s="1"/>
  <c r="AA11" i="10"/>
  <c r="AA14" i="10" s="1"/>
  <c r="AA5" i="10"/>
  <c r="AA6" i="10" s="1"/>
  <c r="L4" i="10"/>
  <c r="AH61" i="10"/>
  <c r="AI61" i="10"/>
  <c r="AH66" i="10"/>
  <c r="AI66" i="10"/>
  <c r="AF45" i="10"/>
  <c r="AG45" i="10" s="1"/>
  <c r="AA7" i="10" s="1"/>
  <c r="AI71" i="10"/>
  <c r="AH71" i="10"/>
  <c r="AH53" i="10"/>
  <c r="AI53" i="10"/>
  <c r="AI57" i="10"/>
  <c r="AH57" i="10"/>
  <c r="AH58" i="10"/>
  <c r="AI58" i="10"/>
  <c r="AI49" i="10"/>
  <c r="AH49" i="10"/>
  <c r="AH46" i="10"/>
  <c r="AI46" i="10"/>
  <c r="AI59" i="10"/>
  <c r="AH59" i="10"/>
  <c r="AH62" i="10"/>
  <c r="AI62" i="10"/>
  <c r="AI67" i="10"/>
  <c r="AH67" i="10"/>
  <c r="AH52" i="10"/>
  <c r="AI52" i="10"/>
  <c r="AI48" i="10"/>
  <c r="AH48" i="10"/>
  <c r="AI72" i="10"/>
  <c r="AH72" i="10"/>
  <c r="AH70" i="10"/>
  <c r="AI70" i="10"/>
  <c r="AH56" i="10"/>
  <c r="AI56" i="10"/>
  <c r="AI47" i="10"/>
  <c r="AH47" i="10"/>
  <c r="AI54" i="10"/>
  <c r="AH54" i="10"/>
  <c r="AI50" i="10"/>
  <c r="AH50" i="10"/>
  <c r="AH68" i="10"/>
  <c r="AI68" i="10"/>
  <c r="AH55" i="10"/>
  <c r="AI55" i="10"/>
  <c r="AI63" i="10"/>
  <c r="AH63" i="10"/>
  <c r="AI60" i="10"/>
  <c r="AH60" i="10"/>
  <c r="AH64" i="10"/>
  <c r="AI64" i="10"/>
  <c r="AH69" i="10"/>
  <c r="AI69" i="10"/>
  <c r="AI51" i="10"/>
  <c r="AH51" i="10"/>
  <c r="AH65" i="10"/>
  <c r="AI65" i="10"/>
  <c r="M4" i="10"/>
  <c r="M14" i="10" s="1"/>
  <c r="I5" i="10" l="1"/>
  <c r="I14" i="10" s="1"/>
  <c r="K5" i="10"/>
  <c r="K14" i="10" s="1"/>
  <c r="J5" i="10"/>
  <c r="J14" i="10" s="1"/>
  <c r="AA17" i="10"/>
  <c r="AA22" i="10" s="1"/>
  <c r="AI45" i="10"/>
  <c r="AA9" i="10" s="1"/>
  <c r="AH45" i="10"/>
  <c r="AA8" i="10" s="1"/>
  <c r="AA19" i="10" l="1"/>
  <c r="AA18" i="10"/>
  <c r="AA20" i="10" l="1"/>
  <c r="AA23" i="10" s="1"/>
  <c r="AA21" i="10"/>
  <c r="AA24" i="10" s="1"/>
</calcChain>
</file>

<file path=xl/sharedStrings.xml><?xml version="1.0" encoding="utf-8"?>
<sst xmlns="http://schemas.openxmlformats.org/spreadsheetml/2006/main" count="1521" uniqueCount="210">
  <si>
    <t>fc</t>
  </si>
  <si>
    <t>fy</t>
  </si>
  <si>
    <t>Es</t>
  </si>
  <si>
    <t>fcp</t>
  </si>
  <si>
    <t>So</t>
  </si>
  <si>
    <t>ψ</t>
  </si>
  <si>
    <t>σc</t>
  </si>
  <si>
    <t>εt</t>
  </si>
  <si>
    <t>εcu</t>
  </si>
  <si>
    <t>dp</t>
  </si>
  <si>
    <t>ds</t>
  </si>
  <si>
    <t>de</t>
  </si>
  <si>
    <t>Frame</t>
  </si>
  <si>
    <t>P</t>
  </si>
  <si>
    <t>M2u</t>
  </si>
  <si>
    <t>M3u</t>
  </si>
  <si>
    <t>b</t>
  </si>
  <si>
    <t>h</t>
  </si>
  <si>
    <t>alfa</t>
  </si>
  <si>
    <t>M2</t>
  </si>
  <si>
    <t>M3</t>
  </si>
  <si>
    <t>C016</t>
  </si>
  <si>
    <t>LoadCase</t>
  </si>
  <si>
    <t>UDCON2</t>
  </si>
  <si>
    <t>FLEXO-COMPRESION BIAXIAL</t>
  </si>
  <si>
    <t xml:space="preserve"> BARAÑADO QUIÑONES RENÉ GONZALO    (591) 74228325 - 78734580</t>
  </si>
  <si>
    <t>dmax</t>
  </si>
  <si>
    <t>φ·P</t>
  </si>
  <si>
    <t>φ·M3</t>
  </si>
  <si>
    <t>φ·M2</t>
  </si>
  <si>
    <t>φ·MR</t>
  </si>
  <si>
    <t>φ·η</t>
  </si>
  <si>
    <t>MR</t>
  </si>
  <si>
    <t>φc</t>
  </si>
  <si>
    <t>xt</t>
  </si>
  <si>
    <t>c</t>
  </si>
  <si>
    <t>φt</t>
  </si>
  <si>
    <t>xb</t>
  </si>
  <si>
    <t>UDCON1</t>
  </si>
  <si>
    <t>εcaux</t>
  </si>
  <si>
    <t>εsmax</t>
  </si>
  <si>
    <t>Pu</t>
  </si>
  <si>
    <t>ηu</t>
  </si>
  <si>
    <t>alf rad</t>
  </si>
  <si>
    <t>φ</t>
  </si>
  <si>
    <t>εy</t>
  </si>
  <si>
    <t>Nns</t>
  </si>
  <si>
    <t>Mnsxα</t>
  </si>
  <si>
    <t>Ago</t>
  </si>
  <si>
    <t>Mnsyα</t>
  </si>
  <si>
    <t>Sgx</t>
  </si>
  <si>
    <t>Nmin</t>
  </si>
  <si>
    <t>Δcosα</t>
  </si>
  <si>
    <t>Δcosβ</t>
  </si>
  <si>
    <t>Δcosγ</t>
  </si>
  <si>
    <t>Sgy</t>
  </si>
  <si>
    <t>Aco</t>
  </si>
  <si>
    <t>Aso</t>
  </si>
  <si>
    <t>Scx</t>
  </si>
  <si>
    <t>Ssx</t>
  </si>
  <si>
    <t>Scy</t>
  </si>
  <si>
    <t>Importar Datos</t>
  </si>
  <si>
    <t>Ssy</t>
  </si>
  <si>
    <t>Nnc</t>
  </si>
  <si>
    <t>xp</t>
  </si>
  <si>
    <t>Mncxα</t>
  </si>
  <si>
    <t>yp</t>
  </si>
  <si>
    <t>Mncyα</t>
  </si>
  <si>
    <t>Diagrama Iteraccion 3D</t>
  </si>
  <si>
    <t>beta1</t>
  </si>
  <si>
    <t>Nn</t>
  </si>
  <si>
    <t>ycomp</t>
  </si>
  <si>
    <t>Mnxα</t>
  </si>
  <si>
    <t>Mnyα</t>
  </si>
  <si>
    <t>FileName</t>
  </si>
  <si>
    <t>scriptSectionGR</t>
  </si>
  <si>
    <t>a</t>
  </si>
  <si>
    <t>Mnx</t>
  </si>
  <si>
    <t>Scale</t>
  </si>
  <si>
    <t>yx</t>
  </si>
  <si>
    <t>Mny</t>
  </si>
  <si>
    <t>Nu</t>
  </si>
  <si>
    <t>Mux</t>
  </si>
  <si>
    <t>Muy</t>
  </si>
  <si>
    <t>xgo</t>
  </si>
  <si>
    <t>ygo</t>
  </si>
  <si>
    <t>xg</t>
  </si>
  <si>
    <t>yg</t>
  </si>
  <si>
    <t>xgα</t>
  </si>
  <si>
    <t>ygα</t>
  </si>
  <si>
    <t>xcα</t>
  </si>
  <si>
    <t>ycα</t>
  </si>
  <si>
    <t>xc</t>
  </si>
  <si>
    <t>yc</t>
  </si>
  <si>
    <t>xso</t>
  </si>
  <si>
    <t>yso</t>
  </si>
  <si>
    <t>aso</t>
  </si>
  <si>
    <t>xs</t>
  </si>
  <si>
    <t>ys</t>
  </si>
  <si>
    <t>xsα</t>
  </si>
  <si>
    <t>ysα</t>
  </si>
  <si>
    <t>d</t>
  </si>
  <si>
    <t>εs</t>
  </si>
  <si>
    <t>σs</t>
  </si>
  <si>
    <t>ns</t>
  </si>
  <si>
    <t>msxα</t>
  </si>
  <si>
    <t>msyα</t>
  </si>
  <si>
    <t>nx</t>
  </si>
  <si>
    <t>ny</t>
  </si>
  <si>
    <t>rec</t>
  </si>
  <si>
    <t>ang</t>
  </si>
  <si>
    <t>scriptSectionRN</t>
  </si>
  <si>
    <t>scriptSectionRS</t>
  </si>
  <si>
    <t>bw</t>
  </si>
  <si>
    <t>t</t>
  </si>
  <si>
    <t>b1</t>
  </si>
  <si>
    <t>t1</t>
  </si>
  <si>
    <t>scriptSectionT2</t>
  </si>
  <si>
    <t>scriptSectionT1</t>
  </si>
  <si>
    <t>scriptSectionT</t>
  </si>
  <si>
    <t>scriptSectionL1</t>
  </si>
  <si>
    <t>scriptSectionL</t>
  </si>
  <si>
    <t>MRu</t>
  </si>
  <si>
    <t>Capacidad Resistente de la Seccion</t>
  </si>
  <si>
    <t>Resistencia Requerida Ultima</t>
  </si>
  <si>
    <t>Direccion Critica de verificacion</t>
  </si>
  <si>
    <t>Datos</t>
  </si>
  <si>
    <t>φ·η/ηu</t>
  </si>
  <si>
    <t>UDCON3</t>
  </si>
  <si>
    <t>UDCON9</t>
  </si>
  <si>
    <t>UDCON13</t>
  </si>
  <si>
    <t>UDCON7</t>
  </si>
  <si>
    <t>UDCON5</t>
  </si>
  <si>
    <t>UDCON12</t>
  </si>
  <si>
    <t>UDCON11</t>
  </si>
  <si>
    <t>UDCON6</t>
  </si>
  <si>
    <t>UDCON8</t>
  </si>
  <si>
    <t>UDCON10</t>
  </si>
  <si>
    <t>UDCON4</t>
  </si>
  <si>
    <t>UDCON14</t>
  </si>
  <si>
    <t>Curve 1</t>
  </si>
  <si>
    <t>0. degrees</t>
  </si>
  <si>
    <t>Curve 2</t>
  </si>
  <si>
    <t>15. degrees</t>
  </si>
  <si>
    <t>Curve 3</t>
  </si>
  <si>
    <t>30. degrees</t>
  </si>
  <si>
    <t>Curve 4</t>
  </si>
  <si>
    <t>45. degrees</t>
  </si>
  <si>
    <t>Curve 5</t>
  </si>
  <si>
    <t>60. degrees</t>
  </si>
  <si>
    <t>Curve 6</t>
  </si>
  <si>
    <t>75. degrees</t>
  </si>
  <si>
    <t>Curve 7</t>
  </si>
  <si>
    <t>90. degrees</t>
  </si>
  <si>
    <t>Curve 8</t>
  </si>
  <si>
    <t>105. degrees</t>
  </si>
  <si>
    <t>Curve 9</t>
  </si>
  <si>
    <t>120. degrees</t>
  </si>
  <si>
    <t>Curve 10</t>
  </si>
  <si>
    <t>135. degrees</t>
  </si>
  <si>
    <t>Curve 11</t>
  </si>
  <si>
    <t>150. degrees</t>
  </si>
  <si>
    <t>Curve 12</t>
  </si>
  <si>
    <t>165. degrees</t>
  </si>
  <si>
    <t>Curve 13</t>
  </si>
  <si>
    <t>180. degrees</t>
  </si>
  <si>
    <t>Curve 14</t>
  </si>
  <si>
    <t>195. degrees</t>
  </si>
  <si>
    <t>Curve 15</t>
  </si>
  <si>
    <t>210. degrees</t>
  </si>
  <si>
    <t>Curve 16</t>
  </si>
  <si>
    <t>225. degrees</t>
  </si>
  <si>
    <t>Curve 17</t>
  </si>
  <si>
    <t>240. degrees</t>
  </si>
  <si>
    <t>Curve 18</t>
  </si>
  <si>
    <t>255. degrees</t>
  </si>
  <si>
    <t>Curve 19</t>
  </si>
  <si>
    <t>270. degrees</t>
  </si>
  <si>
    <t>Curve 20</t>
  </si>
  <si>
    <t>285. degrees</t>
  </si>
  <si>
    <t>Curve 21</t>
  </si>
  <si>
    <t>300. degrees</t>
  </si>
  <si>
    <t>Curve 22</t>
  </si>
  <si>
    <t>315. degrees</t>
  </si>
  <si>
    <t>Curve 23</t>
  </si>
  <si>
    <t>330. degrees</t>
  </si>
  <si>
    <t>Curve 24</t>
  </si>
  <si>
    <t>345. degrees</t>
  </si>
  <si>
    <t>SAP2000</t>
  </si>
  <si>
    <t>…........</t>
  </si>
  <si>
    <t>UDCON54</t>
  </si>
  <si>
    <t>UDCON53</t>
  </si>
  <si>
    <t>UDCON51</t>
  </si>
  <si>
    <t>UDCON52</t>
  </si>
  <si>
    <t>UDCON56</t>
  </si>
  <si>
    <t>UDCON18</t>
  </si>
  <si>
    <t>UDCON24</t>
  </si>
  <si>
    <t>UDCON26</t>
  </si>
  <si>
    <t>UDCON20</t>
  </si>
  <si>
    <t>UDCON16</t>
  </si>
  <si>
    <t>UDCON22</t>
  </si>
  <si>
    <t>UDCON21</t>
  </si>
  <si>
    <t>UDCON15</t>
  </si>
  <si>
    <t>UDCON19</t>
  </si>
  <si>
    <t>UDCON25</t>
  </si>
  <si>
    <t>UDCON23</t>
  </si>
  <si>
    <t>UDCON17</t>
  </si>
  <si>
    <t>UDCON55</t>
  </si>
  <si>
    <t>ymax</t>
  </si>
  <si>
    <t>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</si>
</sst>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3" xfId="0" applyNumberFormat="1" applyFont="1" applyFill="1" applyBorder="1"/>
    <xf numFmtId="0" fontId="1" fillId="0" borderId="0" xfId="0" applyNumberFormat="1" applyFont="1"/>
    <xf numFmtId="0" fontId="1" fillId="4" borderId="4" xfId="0" applyNumberFormat="1" applyFont="1" applyFill="1" applyBorder="1"/>
    <xf numFmtId="0" fontId="1" fillId="5" borderId="4" xfId="0" applyNumberFormat="1" applyFont="1" applyFill="1" applyBorder="1"/>
    <xf numFmtId="0" fontId="1" fillId="0" borderId="4" xfId="0" applyNumberFormat="1" applyFont="1" applyFill="1" applyBorder="1"/>
    <xf numFmtId="0" fontId="1" fillId="4" borderId="4" xfId="0" applyNumberFormat="1" applyFont="1" applyFill="1" applyBorder="1" applyAlignment="1">
      <alignment horizontal="center"/>
    </xf>
    <xf numFmtId="0" fontId="1" fillId="0" borderId="4" xfId="0" applyNumberFormat="1" applyFont="1" applyBorder="1"/>
    <xf numFmtId="0" fontId="2" fillId="0" borderId="5" xfId="0" applyNumberFormat="1" applyFont="1" applyBorder="1"/>
    <xf numFmtId="0" fontId="1" fillId="0" borderId="3" xfId="0" applyNumberFormat="1" applyFont="1" applyBorder="1"/>
    <xf numFmtId="0" fontId="1" fillId="0" borderId="6" xfId="0" applyNumberFormat="1" applyFont="1" applyBorder="1"/>
    <xf numFmtId="0" fontId="1" fillId="4" borderId="4" xfId="0" applyNumberFormat="1" applyFont="1" applyFill="1" applyBorder="1" applyAlignment="1">
      <alignment horizontal="left" indent="1"/>
    </xf>
    <xf numFmtId="0" fontId="3" fillId="2" borderId="4" xfId="0" applyNumberFormat="1" applyFont="1" applyFill="1" applyBorder="1"/>
    <xf numFmtId="0" fontId="1" fillId="0" borderId="0" xfId="0" applyNumberFormat="1" applyFont="1" applyBorder="1"/>
    <xf numFmtId="0" fontId="1" fillId="0" borderId="8" xfId="0" applyNumberFormat="1" applyFont="1" applyBorder="1"/>
    <xf numFmtId="164" fontId="1" fillId="2" borderId="14" xfId="0" applyNumberFormat="1" applyFont="1" applyFill="1" applyBorder="1"/>
    <xf numFmtId="1" fontId="1" fillId="2" borderId="14" xfId="0" applyNumberFormat="1" applyFont="1" applyFill="1" applyBorder="1"/>
    <xf numFmtId="0" fontId="1" fillId="2" borderId="14" xfId="0" applyNumberFormat="1" applyFont="1" applyFill="1" applyBorder="1"/>
    <xf numFmtId="0" fontId="1" fillId="0" borderId="14" xfId="0" applyNumberFormat="1" applyFont="1" applyBorder="1"/>
    <xf numFmtId="0" fontId="1" fillId="3" borderId="4" xfId="0" applyNumberFormat="1" applyFont="1" applyFill="1" applyBorder="1"/>
    <xf numFmtId="164" fontId="1" fillId="2" borderId="15" xfId="0" applyNumberFormat="1" applyFont="1" applyFill="1" applyBorder="1"/>
    <xf numFmtId="1" fontId="1" fillId="2" borderId="15" xfId="0" applyNumberFormat="1" applyFont="1" applyFill="1" applyBorder="1"/>
    <xf numFmtId="0" fontId="1" fillId="2" borderId="15" xfId="0" applyNumberFormat="1" applyFont="1" applyFill="1" applyBorder="1"/>
    <xf numFmtId="0" fontId="1" fillId="0" borderId="15" xfId="0" applyNumberFormat="1" applyFont="1" applyBorder="1"/>
    <xf numFmtId="0" fontId="1" fillId="0" borderId="7" xfId="0" applyNumberFormat="1" applyFont="1" applyBorder="1"/>
    <xf numFmtId="0" fontId="2" fillId="0" borderId="7" xfId="0" applyNumberFormat="1" applyFont="1" applyBorder="1"/>
    <xf numFmtId="0" fontId="1" fillId="2" borderId="4" xfId="0" applyNumberFormat="1" applyFont="1" applyFill="1" applyBorder="1"/>
    <xf numFmtId="0" fontId="1" fillId="0" borderId="13" xfId="0" applyNumberFormat="1" applyFont="1" applyBorder="1"/>
    <xf numFmtId="0" fontId="2" fillId="0" borderId="0" xfId="0" applyNumberFormat="1" applyFont="1" applyBorder="1"/>
    <xf numFmtId="0" fontId="1" fillId="4" borderId="11" xfId="0" applyNumberFormat="1" applyFont="1" applyFill="1" applyBorder="1" applyAlignment="1">
      <alignment horizontal="left" indent="1"/>
    </xf>
    <xf numFmtId="0" fontId="1" fillId="4" borderId="12" xfId="0" applyNumberFormat="1" applyFont="1" applyFill="1" applyBorder="1"/>
    <xf numFmtId="0" fontId="1" fillId="2" borderId="11" xfId="0" applyNumberFormat="1" applyFont="1" applyFill="1" applyBorder="1" applyAlignment="1">
      <alignment horizontal="left" indent="1"/>
    </xf>
    <xf numFmtId="0" fontId="1" fillId="2" borderId="2" xfId="0" applyNumberFormat="1" applyFont="1" applyFill="1" applyBorder="1"/>
    <xf numFmtId="0" fontId="1" fillId="2" borderId="12" xfId="0" applyNumberFormat="1" applyFont="1" applyFill="1" applyBorder="1"/>
    <xf numFmtId="0" fontId="1" fillId="0" borderId="9" xfId="0" applyNumberFormat="1" applyFont="1" applyBorder="1"/>
    <xf numFmtId="0" fontId="1" fillId="0" borderId="1" xfId="0" applyNumberFormat="1" applyFont="1" applyBorder="1"/>
    <xf numFmtId="0" fontId="1" fillId="2" borderId="4" xfId="0" applyNumberFormat="1" applyFont="1" applyFill="1" applyBorder="1" applyAlignment="1">
      <alignment horizontal="center"/>
    </xf>
    <xf numFmtId="0" fontId="1" fillId="0" borderId="10" xfId="0" applyNumberFormat="1" applyFont="1" applyBorder="1"/>
    <xf numFmtId="164" fontId="1" fillId="2" borderId="13" xfId="0" applyNumberFormat="1" applyFont="1" applyFill="1" applyBorder="1"/>
    <xf numFmtId="1" fontId="1" fillId="2" borderId="13" xfId="0" applyNumberFormat="1" applyFont="1" applyFill="1" applyBorder="1"/>
    <xf numFmtId="0" fontId="1" fillId="2" borderId="13" xfId="0" applyNumberFormat="1" applyFont="1" applyFill="1" applyBorder="1"/>
    <xf numFmtId="0" fontId="3" fillId="0" borderId="0" xfId="0" applyNumberFormat="1" applyFont="1"/>
    <xf numFmtId="0" fontId="1" fillId="0" borderId="14" xfId="0" applyNumberFormat="1" applyFont="1" applyFill="1" applyBorder="1"/>
    <xf numFmtId="0" fontId="1" fillId="0" borderId="15" xfId="0" applyNumberFormat="1" applyFont="1" applyFill="1" applyBorder="1"/>
    <xf numFmtId="0" fontId="1" fillId="0" borderId="13" xfId="0" applyNumberFormat="1" applyFont="1" applyFill="1" applyBorder="1"/>
    <xf numFmtId="0" fontId="1" fillId="0" borderId="8" xfId="0" applyFont="1" applyBorder="1"/>
    <xf numFmtId="0" fontId="1" fillId="0" borderId="15" xfId="0" applyFont="1" applyBorder="1"/>
    <xf numFmtId="0" fontId="1" fillId="0" borderId="14" xfId="0" applyFont="1" applyBorder="1"/>
    <xf numFmtId="0" fontId="1" fillId="0" borderId="0" xfId="0" applyFont="1"/>
    <xf numFmtId="0" fontId="1" fillId="0" borderId="13" xfId="0" applyFont="1" applyBorder="1"/>
    <xf numFmtId="0" fontId="1" fillId="4" borderId="4" xfId="0" applyFont="1" applyFill="1" applyBorder="1"/>
    <xf numFmtId="0" fontId="1" fillId="0" borderId="4" xfId="0" applyFont="1" applyBorder="1"/>
    <xf numFmtId="0" fontId="1" fillId="4" borderId="11" xfId="0" applyFont="1" applyFill="1" applyBorder="1"/>
    <xf numFmtId="0" fontId="1" fillId="4" borderId="12" xfId="0" applyFont="1" applyFill="1" applyBorder="1"/>
    <xf numFmtId="0" fontId="1" fillId="5" borderId="14" xfId="0" applyFont="1" applyFill="1" applyBorder="1"/>
    <xf numFmtId="0" fontId="1" fillId="0" borderId="7" xfId="0" applyFont="1" applyBorder="1"/>
    <xf numFmtId="0" fontId="1" fillId="5" borderId="15" xfId="0" applyFont="1" applyFill="1" applyBorder="1"/>
    <xf numFmtId="0" fontId="1" fillId="5" borderId="13" xfId="0" applyFont="1" applyFill="1" applyBorder="1"/>
    <xf numFmtId="0" fontId="2" fillId="4" borderId="11" xfId="0" applyNumberFormat="1" applyFont="1" applyFill="1" applyBorder="1"/>
    <xf numFmtId="0" fontId="1" fillId="4" borderId="2" xfId="0" applyNumberFormat="1" applyFont="1" applyFill="1" applyBorder="1"/>
    <xf numFmtId="0" fontId="2" fillId="4" borderId="2" xfId="0" applyNumberFormat="1" applyFont="1" applyFill="1" applyBorder="1"/>
    <xf numFmtId="0" fontId="1" fillId="4" borderId="2" xfId="0" applyFont="1" applyFill="1" applyBorder="1"/>
    <xf numFmtId="0" fontId="1" fillId="0" borderId="5" xfId="0" applyNumberFormat="1" applyFont="1" applyBorder="1"/>
    <xf numFmtId="0" fontId="1" fillId="0" borderId="0" xfId="0" applyFont="1" applyBorder="1"/>
    <xf numFmtId="0" fontId="1" fillId="0" borderId="1" xfId="0" applyFont="1" applyBorder="1"/>
    <xf numFmtId="0" fontId="1" fillId="0" borderId="3" xfId="0" applyFont="1" applyBorder="1"/>
    <xf numFmtId="0" fontId="1" fillId="2" borderId="15" xfId="0" applyFont="1" applyFill="1" applyBorder="1"/>
    <xf numFmtId="0" fontId="4" fillId="3" borderId="4" xfId="0" applyNumberFormat="1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3" xfId="0" applyFont="1" applyFill="1" applyBorder="1"/>
    <xf numFmtId="0" fontId="1" fillId="2" borderId="10" xfId="0" applyFont="1" applyFill="1" applyBorder="1"/>
    <xf numFmtId="0" fontId="3" fillId="6" borderId="4" xfId="0" applyNumberFormat="1" applyFont="1" applyFill="1" applyBorder="1"/>
  </cellXfs>
  <cellStyles count="1">
    <cellStyle name="Normal" xfId="0" builtinId="0"/>
  </cellStyles>
  <dxfs count="2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FF99"/>
      <color rgb="FF0000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[0]!Sheet4xg</c:f>
              <c:numCache>
                <c:formatCode>General</c:formatCode>
                <c:ptCount val="5"/>
                <c:pt idx="0">
                  <c:v>-11.134886976853462</c:v>
                </c:pt>
                <c:pt idx="1">
                  <c:v>-2.134886976853462</c:v>
                </c:pt>
                <c:pt idx="2">
                  <c:v>14.865113023146538</c:v>
                </c:pt>
                <c:pt idx="3">
                  <c:v>-4.134886976853462</c:v>
                </c:pt>
                <c:pt idx="4">
                  <c:v>-11.134886976853462</c:v>
                </c:pt>
              </c:numCache>
            </c:numRef>
          </c:xVal>
          <c:yVal>
            <c:numRef>
              <c:f>[0]!Sheet4yg</c:f>
              <c:numCache>
                <c:formatCode>General</c:formatCode>
                <c:ptCount val="5"/>
                <c:pt idx="0">
                  <c:v>-11.169718946458319</c:v>
                </c:pt>
                <c:pt idx="1">
                  <c:v>-14.169718946458319</c:v>
                </c:pt>
                <c:pt idx="2">
                  <c:v>7.8302810535416807</c:v>
                </c:pt>
                <c:pt idx="3">
                  <c:v>12.830281053541681</c:v>
                </c:pt>
                <c:pt idx="4">
                  <c:v>-11.169718946458319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B-4868-9EA0-AB5021CECBC7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[0]!Sheet4xc</c:f>
              <c:numCache>
                <c:formatCode>General</c:formatCode>
                <c:ptCount val="4"/>
                <c:pt idx="0">
                  <c:v>5.2070373469962252</c:v>
                </c:pt>
                <c:pt idx="1">
                  <c:v>-4.134886976853462</c:v>
                </c:pt>
                <c:pt idx="2">
                  <c:v>-6.8887819650210442</c:v>
                </c:pt>
                <c:pt idx="3">
                  <c:v>5.2070373469962252</c:v>
                </c:pt>
              </c:numCache>
            </c:numRef>
          </c:xVal>
          <c:yVal>
            <c:numRef>
              <c:f>[0]!Sheet4yc</c:f>
              <c:numCache>
                <c:formatCode>General</c:formatCode>
                <c:ptCount val="4"/>
                <c:pt idx="0">
                  <c:v>10.371879915686499</c:v>
                </c:pt>
                <c:pt idx="1">
                  <c:v>12.830281053541681</c:v>
                </c:pt>
                <c:pt idx="2">
                  <c:v>3.3883553798242576</c:v>
                </c:pt>
                <c:pt idx="3">
                  <c:v>10.371879915686499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EB-4868-9EA0-AB5021CECBC7}"/>
            </c:ext>
          </c:extLst>
        </c:ser>
        <c:ser>
          <c:idx val="3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[0]!Sheet4xs</c:f>
              <c:numCache>
                <c:formatCode>General</c:formatCode>
                <c:ptCount val="3"/>
                <c:pt idx="0">
                  <c:v>-4.134886976853462</c:v>
                </c:pt>
                <c:pt idx="1">
                  <c:v>6.865113023146538</c:v>
                </c:pt>
                <c:pt idx="2">
                  <c:v>-1.134886976853462</c:v>
                </c:pt>
              </c:numCache>
            </c:numRef>
          </c:xVal>
          <c:yVal>
            <c:numRef>
              <c:f>[0]!Sheet4ys</c:f>
              <c:numCache>
                <c:formatCode>General</c:formatCode>
                <c:ptCount val="3"/>
                <c:pt idx="0">
                  <c:v>-8.1697189464583193</c:v>
                </c:pt>
                <c:pt idx="1">
                  <c:v>4.8302810535416807</c:v>
                </c:pt>
                <c:pt idx="2">
                  <c:v>6.8302810535416807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EB-4868-9EA0-AB5021CEC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  <c:majorUnit val="10"/>
        <c:minorUnit val="5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SecGral!$AM$3:$AM$39</c:f>
              <c:numCache>
                <c:formatCode>General</c:formatCode>
                <c:ptCount val="37"/>
                <c:pt idx="0">
                  <c:v>203.94895158463825</c:v>
                </c:pt>
                <c:pt idx="1">
                  <c:v>190.28808154367385</c:v>
                </c:pt>
                <c:pt idx="2">
                  <c:v>169.28548740426086</c:v>
                </c:pt>
                <c:pt idx="3">
                  <c:v>152.211634969709</c:v>
                </c:pt>
                <c:pt idx="4">
                  <c:v>134.43488815164577</c:v>
                </c:pt>
                <c:pt idx="5">
                  <c:v>104.94644024236656</c:v>
                </c:pt>
                <c:pt idx="6">
                  <c:v>75.614230809162677</c:v>
                </c:pt>
                <c:pt idx="7">
                  <c:v>42.501632841803435</c:v>
                </c:pt>
                <c:pt idx="8">
                  <c:v>-48.357073555473939</c:v>
                </c:pt>
                <c:pt idx="9">
                  <c:v>-120.0772919832937</c:v>
                </c:pt>
                <c:pt idx="10">
                  <c:v>-157.50003917941621</c:v>
                </c:pt>
                <c:pt idx="11">
                  <c:v>-182.19846940607374</c:v>
                </c:pt>
                <c:pt idx="12">
                  <c:v>-198.67745249857359</c:v>
                </c:pt>
                <c:pt idx="13">
                  <c:v>-208.8475117404179</c:v>
                </c:pt>
                <c:pt idx="14">
                  <c:v>-218.76571303514518</c:v>
                </c:pt>
                <c:pt idx="15">
                  <c:v>-228.04717156029309</c:v>
                </c:pt>
                <c:pt idx="16">
                  <c:v>-229.65422016990127</c:v>
                </c:pt>
                <c:pt idx="17">
                  <c:v>-230.81849188920663</c:v>
                </c:pt>
                <c:pt idx="18">
                  <c:v>-222.09945650332662</c:v>
                </c:pt>
                <c:pt idx="19">
                  <c:v>-213.78809362445847</c:v>
                </c:pt>
                <c:pt idx="20">
                  <c:v>-204.84088250775432</c:v>
                </c:pt>
                <c:pt idx="21">
                  <c:v>-184.78824270456627</c:v>
                </c:pt>
                <c:pt idx="22">
                  <c:v>-155.30098817056233</c:v>
                </c:pt>
                <c:pt idx="23">
                  <c:v>-77.592823542136514</c:v>
                </c:pt>
                <c:pt idx="24">
                  <c:v>4.2748133962691002</c:v>
                </c:pt>
                <c:pt idx="25">
                  <c:v>38.098425542371601</c:v>
                </c:pt>
                <c:pt idx="26">
                  <c:v>70.632681945884485</c:v>
                </c:pt>
                <c:pt idx="27">
                  <c:v>95.86942747997395</c:v>
                </c:pt>
                <c:pt idx="28">
                  <c:v>112.28632536575448</c:v>
                </c:pt>
                <c:pt idx="29">
                  <c:v>124.44897454537465</c:v>
                </c:pt>
                <c:pt idx="30">
                  <c:v>137.31611059882928</c:v>
                </c:pt>
                <c:pt idx="31">
                  <c:v>152.61206777871064</c:v>
                </c:pt>
                <c:pt idx="32">
                  <c:v>173.79995194316149</c:v>
                </c:pt>
                <c:pt idx="33">
                  <c:v>188.79319526687945</c:v>
                </c:pt>
                <c:pt idx="34">
                  <c:v>195.90426617947952</c:v>
                </c:pt>
                <c:pt idx="35">
                  <c:v>201.20797644762382</c:v>
                </c:pt>
                <c:pt idx="36">
                  <c:v>203.94895158463837</c:v>
                </c:pt>
              </c:numCache>
            </c:numRef>
          </c:xVal>
          <c:yVal>
            <c:numRef>
              <c:f>SecGral!$AL$3:$AL$39</c:f>
              <c:numCache>
                <c:formatCode>General</c:formatCode>
                <c:ptCount val="37"/>
                <c:pt idx="0">
                  <c:v>-69.195143209887192</c:v>
                </c:pt>
                <c:pt idx="1">
                  <c:v>-39.234937436441861</c:v>
                </c:pt>
                <c:pt idx="2">
                  <c:v>-20.246039509786826</c:v>
                </c:pt>
                <c:pt idx="3">
                  <c:v>-6.348836055815978</c:v>
                </c:pt>
                <c:pt idx="4">
                  <c:v>8.0611902529582906</c:v>
                </c:pt>
                <c:pt idx="5">
                  <c:v>33.469670372501739</c:v>
                </c:pt>
                <c:pt idx="6">
                  <c:v>63.31797052583471</c:v>
                </c:pt>
                <c:pt idx="7">
                  <c:v>100.20223776150608</c:v>
                </c:pt>
                <c:pt idx="8">
                  <c:v>122.19461763837431</c:v>
                </c:pt>
                <c:pt idx="9">
                  <c:v>123.47595105935075</c:v>
                </c:pt>
                <c:pt idx="10">
                  <c:v>121.99045988661926</c:v>
                </c:pt>
                <c:pt idx="11">
                  <c:v>120.51512308083603</c:v>
                </c:pt>
                <c:pt idx="12">
                  <c:v>120.06627957956501</c:v>
                </c:pt>
                <c:pt idx="13">
                  <c:v>120.04066143709804</c:v>
                </c:pt>
                <c:pt idx="14">
                  <c:v>120.64107123741151</c:v>
                </c:pt>
                <c:pt idx="15">
                  <c:v>121.16256250186956</c:v>
                </c:pt>
                <c:pt idx="16">
                  <c:v>117.69151443669902</c:v>
                </c:pt>
                <c:pt idx="17">
                  <c:v>113.80087143558046</c:v>
                </c:pt>
                <c:pt idx="18">
                  <c:v>104.65681889227889</c:v>
                </c:pt>
                <c:pt idx="19">
                  <c:v>94.903144794371244</c:v>
                </c:pt>
                <c:pt idx="20">
                  <c:v>82.962816599420179</c:v>
                </c:pt>
                <c:pt idx="21">
                  <c:v>57.047544775898196</c:v>
                </c:pt>
                <c:pt idx="22">
                  <c:v>16.111606854730272</c:v>
                </c:pt>
                <c:pt idx="23">
                  <c:v>-67.551285884183585</c:v>
                </c:pt>
                <c:pt idx="24">
                  <c:v>-115.60679571160139</c:v>
                </c:pt>
                <c:pt idx="25">
                  <c:v>-115.40655444875655</c:v>
                </c:pt>
                <c:pt idx="26">
                  <c:v>-121.02938438707052</c:v>
                </c:pt>
                <c:pt idx="27">
                  <c:v>-126.35416660926529</c:v>
                </c:pt>
                <c:pt idx="28">
                  <c:v>-130.3169907475999</c:v>
                </c:pt>
                <c:pt idx="29">
                  <c:v>-133.5626357180515</c:v>
                </c:pt>
                <c:pt idx="30">
                  <c:v>-136.82974690321313</c:v>
                </c:pt>
                <c:pt idx="31">
                  <c:v>-140.12984083083629</c:v>
                </c:pt>
                <c:pt idx="32">
                  <c:v>-142.84916158005262</c:v>
                </c:pt>
                <c:pt idx="33">
                  <c:v>-130.28810438970891</c:v>
                </c:pt>
                <c:pt idx="34">
                  <c:v>-113.02040140025059</c:v>
                </c:pt>
                <c:pt idx="35">
                  <c:v>-92.643721246686852</c:v>
                </c:pt>
                <c:pt idx="36">
                  <c:v>-69.195143209887306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1-45B0-B869-F7CCBB8F6AB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SecGral!$AQ$3:$AQ$30</c:f>
              <c:numCache>
                <c:formatCode>General</c:formatCode>
                <c:ptCount val="28"/>
                <c:pt idx="0">
                  <c:v>8.3952957881295909</c:v>
                </c:pt>
                <c:pt idx="1">
                  <c:v>12.523147772016735</c:v>
                </c:pt>
                <c:pt idx="2">
                  <c:v>46.885076040772695</c:v>
                </c:pt>
                <c:pt idx="3">
                  <c:v>76.711660533718401</c:v>
                </c:pt>
                <c:pt idx="4">
                  <c:v>114.10588458986211</c:v>
                </c:pt>
                <c:pt idx="5">
                  <c:v>130.22917938689383</c:v>
                </c:pt>
                <c:pt idx="6">
                  <c:v>152.93151622445754</c:v>
                </c:pt>
                <c:pt idx="7">
                  <c:v>160.73238686061509</c:v>
                </c:pt>
                <c:pt idx="8">
                  <c:v>161.42846876210879</c:v>
                </c:pt>
                <c:pt idx="9">
                  <c:v>162.77647689896585</c:v>
                </c:pt>
                <c:pt idx="10">
                  <c:v>161.64784370286623</c:v>
                </c:pt>
                <c:pt idx="11">
                  <c:v>150.51540922564237</c:v>
                </c:pt>
                <c:pt idx="12">
                  <c:v>126.95215233856493</c:v>
                </c:pt>
                <c:pt idx="13">
                  <c:v>-1.1542047787201506E-14</c:v>
                </c:pt>
                <c:pt idx="14">
                  <c:v>8.3952957881295962</c:v>
                </c:pt>
                <c:pt idx="15">
                  <c:v>-3.6514123396417357</c:v>
                </c:pt>
                <c:pt idx="16">
                  <c:v>-65.079106626440122</c:v>
                </c:pt>
                <c:pt idx="17">
                  <c:v>-116.08256569963757</c:v>
                </c:pt>
                <c:pt idx="18">
                  <c:v>-178.45958521919226</c:v>
                </c:pt>
                <c:pt idx="19">
                  <c:v>-185.36239251175567</c:v>
                </c:pt>
                <c:pt idx="20">
                  <c:v>-186.28568735188975</c:v>
                </c:pt>
                <c:pt idx="21">
                  <c:v>-183.17464501883376</c:v>
                </c:pt>
                <c:pt idx="22">
                  <c:v>-178.76697889678877</c:v>
                </c:pt>
                <c:pt idx="23">
                  <c:v>-168.16804966530324</c:v>
                </c:pt>
                <c:pt idx="24">
                  <c:v>-151.8968675657211</c:v>
                </c:pt>
                <c:pt idx="25">
                  <c:v>-124.56171210497642</c:v>
                </c:pt>
                <c:pt idx="26">
                  <c:v>-99.882285260662897</c:v>
                </c:pt>
                <c:pt idx="27">
                  <c:v>-8.7223633433175784E-15</c:v>
                </c:pt>
              </c:numCache>
            </c:numRef>
          </c:xVal>
          <c:yVal>
            <c:numRef>
              <c:f>SecGral!$AP$3:$AP$30</c:f>
              <c:numCache>
                <c:formatCode>General</c:formatCode>
                <c:ptCount val="28"/>
                <c:pt idx="0">
                  <c:v>-5.5521676132750786</c:v>
                </c:pt>
                <c:pt idx="1">
                  <c:v>-4.8663033827741815</c:v>
                </c:pt>
                <c:pt idx="2">
                  <c:v>2.7114926418430412</c:v>
                </c:pt>
                <c:pt idx="3">
                  <c:v>8.9812887286838468</c:v>
                </c:pt>
                <c:pt idx="4">
                  <c:v>15.853640913651835</c:v>
                </c:pt>
                <c:pt idx="5">
                  <c:v>8.6187576120477694</c:v>
                </c:pt>
                <c:pt idx="6">
                  <c:v>-6.8508436819714946</c:v>
                </c:pt>
                <c:pt idx="7">
                  <c:v>-12.582101445221024</c:v>
                </c:pt>
                <c:pt idx="8">
                  <c:v>-11.052565424216441</c:v>
                </c:pt>
                <c:pt idx="9">
                  <c:v>-12.002635371938378</c:v>
                </c:pt>
                <c:pt idx="10">
                  <c:v>-16.673750854200989</c:v>
                </c:pt>
                <c:pt idx="11">
                  <c:v>-27.255463326061111</c:v>
                </c:pt>
                <c:pt idx="12">
                  <c:v>-25.827688819542761</c:v>
                </c:pt>
                <c:pt idx="13">
                  <c:v>6.6687368953190636E-15</c:v>
                </c:pt>
                <c:pt idx="14">
                  <c:v>-5.5521676132750777</c:v>
                </c:pt>
                <c:pt idx="15">
                  <c:v>0.54495480647113315</c:v>
                </c:pt>
                <c:pt idx="16">
                  <c:v>22.794747765393559</c:v>
                </c:pt>
                <c:pt idx="17">
                  <c:v>39.635383600932435</c:v>
                </c:pt>
                <c:pt idx="18">
                  <c:v>61.042990613837702</c:v>
                </c:pt>
                <c:pt idx="19">
                  <c:v>54.811594575330524</c:v>
                </c:pt>
                <c:pt idx="20">
                  <c:v>41.263712353587771</c:v>
                </c:pt>
                <c:pt idx="21">
                  <c:v>34.025409569177889</c:v>
                </c:pt>
                <c:pt idx="22">
                  <c:v>27.5245162668154</c:v>
                </c:pt>
                <c:pt idx="23">
                  <c:v>16.309769326413289</c:v>
                </c:pt>
                <c:pt idx="24">
                  <c:v>7.551310650873261</c:v>
                </c:pt>
                <c:pt idx="25">
                  <c:v>0.87526387138808992</c:v>
                </c:pt>
                <c:pt idx="26">
                  <c:v>-1.1154555340410108</c:v>
                </c:pt>
                <c:pt idx="27">
                  <c:v>-2.0419560315302633E-14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B1-45B0-B869-F7CCBB8F6AB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SecGral!$S$3:$S$42</c:f>
              <c:numCache>
                <c:formatCode>General</c:formatCode>
                <c:ptCount val="40"/>
              </c:numCache>
            </c:numRef>
          </c:xVal>
          <c:yVal>
            <c:numRef>
              <c:f>SecGral!$R$3:$R$42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B1-45B0-B869-F7CCBB8F6AB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SecGral!$AG$3:$AG$39</c:f>
              <c:numCache>
                <c:formatCode>General</c:formatCode>
                <c:ptCount val="37"/>
                <c:pt idx="0">
                  <c:v>203.94895158463825</c:v>
                </c:pt>
                <c:pt idx="1">
                  <c:v>190.28808154367385</c:v>
                </c:pt>
                <c:pt idx="2">
                  <c:v>169.28548740426086</c:v>
                </c:pt>
                <c:pt idx="3">
                  <c:v>152.211634969709</c:v>
                </c:pt>
                <c:pt idx="4">
                  <c:v>134.43488815164577</c:v>
                </c:pt>
                <c:pt idx="5">
                  <c:v>104.94644024236656</c:v>
                </c:pt>
                <c:pt idx="6">
                  <c:v>75.614230809162677</c:v>
                </c:pt>
                <c:pt idx="7">
                  <c:v>42.501632841803435</c:v>
                </c:pt>
                <c:pt idx="8">
                  <c:v>-48.357073555473939</c:v>
                </c:pt>
                <c:pt idx="9">
                  <c:v>-120.0772919832937</c:v>
                </c:pt>
                <c:pt idx="10">
                  <c:v>-157.50003917941621</c:v>
                </c:pt>
                <c:pt idx="11">
                  <c:v>-182.19846940607374</c:v>
                </c:pt>
                <c:pt idx="12">
                  <c:v>-198.67745249857359</c:v>
                </c:pt>
                <c:pt idx="13">
                  <c:v>-208.8475117404179</c:v>
                </c:pt>
                <c:pt idx="14">
                  <c:v>-218.76571303514518</c:v>
                </c:pt>
                <c:pt idx="15">
                  <c:v>-228.04717156029309</c:v>
                </c:pt>
                <c:pt idx="16">
                  <c:v>-229.65422016990127</c:v>
                </c:pt>
                <c:pt idx="17">
                  <c:v>-230.81849188920663</c:v>
                </c:pt>
                <c:pt idx="18">
                  <c:v>-222.09945650332662</c:v>
                </c:pt>
                <c:pt idx="19">
                  <c:v>-213.78809362445847</c:v>
                </c:pt>
                <c:pt idx="20">
                  <c:v>-204.84088250775432</c:v>
                </c:pt>
                <c:pt idx="21">
                  <c:v>-184.78824270456627</c:v>
                </c:pt>
                <c:pt idx="22">
                  <c:v>-155.30098817056233</c:v>
                </c:pt>
                <c:pt idx="23">
                  <c:v>-77.592823542136514</c:v>
                </c:pt>
                <c:pt idx="24">
                  <c:v>4.2748133962691002</c:v>
                </c:pt>
                <c:pt idx="25">
                  <c:v>38.098425542371601</c:v>
                </c:pt>
                <c:pt idx="26">
                  <c:v>70.632681945884485</c:v>
                </c:pt>
                <c:pt idx="27">
                  <c:v>95.86942747997395</c:v>
                </c:pt>
                <c:pt idx="28">
                  <c:v>112.28632536575448</c:v>
                </c:pt>
                <c:pt idx="29">
                  <c:v>124.44897454537465</c:v>
                </c:pt>
                <c:pt idx="30">
                  <c:v>137.31611059882928</c:v>
                </c:pt>
                <c:pt idx="31">
                  <c:v>152.61206777871064</c:v>
                </c:pt>
                <c:pt idx="32">
                  <c:v>173.79995194316149</c:v>
                </c:pt>
                <c:pt idx="33">
                  <c:v>188.79319526687945</c:v>
                </c:pt>
                <c:pt idx="34">
                  <c:v>195.90426617947952</c:v>
                </c:pt>
                <c:pt idx="35">
                  <c:v>201.20797644762382</c:v>
                </c:pt>
                <c:pt idx="36">
                  <c:v>203.94895158463837</c:v>
                </c:pt>
              </c:numCache>
            </c:numRef>
          </c:xVal>
          <c:yVal>
            <c:numRef>
              <c:f>SecGral!$AF$3:$AF$39</c:f>
              <c:numCache>
                <c:formatCode>General</c:formatCode>
                <c:ptCount val="37"/>
                <c:pt idx="0">
                  <c:v>-69.195143209887192</c:v>
                </c:pt>
                <c:pt idx="1">
                  <c:v>-39.234937436441861</c:v>
                </c:pt>
                <c:pt idx="2">
                  <c:v>-20.246039509786826</c:v>
                </c:pt>
                <c:pt idx="3">
                  <c:v>-6.348836055815978</c:v>
                </c:pt>
                <c:pt idx="4">
                  <c:v>8.0611902529582906</c:v>
                </c:pt>
                <c:pt idx="5">
                  <c:v>33.469670372501739</c:v>
                </c:pt>
                <c:pt idx="6">
                  <c:v>63.31797052583471</c:v>
                </c:pt>
                <c:pt idx="7">
                  <c:v>100.20223776150608</c:v>
                </c:pt>
                <c:pt idx="8">
                  <c:v>122.19461763837431</c:v>
                </c:pt>
                <c:pt idx="9">
                  <c:v>123.47595105935075</c:v>
                </c:pt>
                <c:pt idx="10">
                  <c:v>121.99045988661926</c:v>
                </c:pt>
                <c:pt idx="11">
                  <c:v>120.51512308083603</c:v>
                </c:pt>
                <c:pt idx="12">
                  <c:v>120.06627957956501</c:v>
                </c:pt>
                <c:pt idx="13">
                  <c:v>120.04066143709804</c:v>
                </c:pt>
                <c:pt idx="14">
                  <c:v>120.64107123741151</c:v>
                </c:pt>
                <c:pt idx="15">
                  <c:v>121.16256250186956</c:v>
                </c:pt>
                <c:pt idx="16">
                  <c:v>117.69151443669902</c:v>
                </c:pt>
                <c:pt idx="17">
                  <c:v>113.80087143558046</c:v>
                </c:pt>
                <c:pt idx="18">
                  <c:v>104.65681889227889</c:v>
                </c:pt>
                <c:pt idx="19">
                  <c:v>94.903144794371244</c:v>
                </c:pt>
                <c:pt idx="20">
                  <c:v>82.962816599420179</c:v>
                </c:pt>
                <c:pt idx="21">
                  <c:v>57.047544775898196</c:v>
                </c:pt>
                <c:pt idx="22">
                  <c:v>16.111606854730272</c:v>
                </c:pt>
                <c:pt idx="23">
                  <c:v>-67.551285884183585</c:v>
                </c:pt>
                <c:pt idx="24">
                  <c:v>-115.60679571160139</c:v>
                </c:pt>
                <c:pt idx="25">
                  <c:v>-115.40655444875655</c:v>
                </c:pt>
                <c:pt idx="26">
                  <c:v>-121.02938438707052</c:v>
                </c:pt>
                <c:pt idx="27">
                  <c:v>-126.35416660926529</c:v>
                </c:pt>
                <c:pt idx="28">
                  <c:v>-130.3169907475999</c:v>
                </c:pt>
                <c:pt idx="29">
                  <c:v>-133.5626357180515</c:v>
                </c:pt>
                <c:pt idx="30">
                  <c:v>-136.82974690321313</c:v>
                </c:pt>
                <c:pt idx="31">
                  <c:v>-140.12984083083629</c:v>
                </c:pt>
                <c:pt idx="32">
                  <c:v>-142.84916158005262</c:v>
                </c:pt>
                <c:pt idx="33">
                  <c:v>-130.28810438970891</c:v>
                </c:pt>
                <c:pt idx="34">
                  <c:v>-113.02040140025059</c:v>
                </c:pt>
                <c:pt idx="35">
                  <c:v>-92.643721246686852</c:v>
                </c:pt>
                <c:pt idx="36">
                  <c:v>-69.195143209887306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B1-45B0-B869-F7CCBB8F6AB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SecGral!$K$4</c:f>
              <c:numCache>
                <c:formatCode>General</c:formatCode>
                <c:ptCount val="1"/>
                <c:pt idx="0">
                  <c:v>128.83640807415486</c:v>
                </c:pt>
              </c:numCache>
            </c:numRef>
          </c:xVal>
          <c:yVal>
            <c:numRef>
              <c:f>SecGral!$J$4</c:f>
              <c:numCache>
                <c:formatCode>General</c:formatCode>
                <c:ptCount val="1"/>
                <c:pt idx="0">
                  <c:v>9.5771255178087564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B1-45B0-B869-F7CCBB8F6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SecGral!$AM$41:$AM$42</c:f>
              <c:numCache>
                <c:formatCode>General</c:formatCode>
                <c:ptCount val="2"/>
                <c:pt idx="0">
                  <c:v>128.64472460742383</c:v>
                </c:pt>
                <c:pt idx="1">
                  <c:v>-131.50754011488976</c:v>
                </c:pt>
              </c:numCache>
            </c:numRef>
          </c:xVal>
          <c:yVal>
            <c:numRef>
              <c:f>SecGral!$AJ$41:$AJ$42</c:f>
              <c:numCache>
                <c:formatCode>General</c:formatCode>
                <c:ptCount val="2"/>
                <c:pt idx="0">
                  <c:v>3.2207181734982271E-3</c:v>
                </c:pt>
                <c:pt idx="1">
                  <c:v>5.3140220109995084E-3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2-495C-A177-8B03E7C9933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SecGral!$AR$3:$AR$30</c:f>
              <c:numCache>
                <c:formatCode>General</c:formatCode>
                <c:ptCount val="28"/>
                <c:pt idx="0">
                  <c:v>4.494455618167188</c:v>
                </c:pt>
                <c:pt idx="1">
                  <c:v>8.4122124145258965</c:v>
                </c:pt>
                <c:pt idx="2">
                  <c:v>41.959413230595807</c:v>
                </c:pt>
                <c:pt idx="3">
                  <c:v>70.924891153030188</c:v>
                </c:pt>
                <c:pt idx="4">
                  <c:v>106.74541523294182</c:v>
                </c:pt>
                <c:pt idx="5">
                  <c:v>117.09115646907472</c:v>
                </c:pt>
                <c:pt idx="6">
                  <c:v>129.01715624866654</c:v>
                </c:pt>
                <c:pt idx="7">
                  <c:v>132.90727950959027</c:v>
                </c:pt>
                <c:pt idx="8">
                  <c:v>134.2748721299007</c:v>
                </c:pt>
                <c:pt idx="9">
                  <c:v>134.96724644706609</c:v>
                </c:pt>
                <c:pt idx="10">
                  <c:v>131.65426368655807</c:v>
                </c:pt>
                <c:pt idx="11">
                  <c:v>116.7224363873864</c:v>
                </c:pt>
                <c:pt idx="12">
                  <c:v>97.029944580537887</c:v>
                </c:pt>
                <c:pt idx="13">
                  <c:v>-6.6613381477509408E-15</c:v>
                </c:pt>
                <c:pt idx="14">
                  <c:v>4.4944556181671924</c:v>
                </c:pt>
                <c:pt idx="15">
                  <c:v>-2.8897384425861499</c:v>
                </c:pt>
                <c:pt idx="16">
                  <c:v>-44.96278571139657</c:v>
                </c:pt>
                <c:pt idx="17">
                  <c:v>-80.712759031896042</c:v>
                </c:pt>
                <c:pt idx="18">
                  <c:v>-124.02903904173557</c:v>
                </c:pt>
                <c:pt idx="19">
                  <c:v>-133.12274353377757</c:v>
                </c:pt>
                <c:pt idx="20">
                  <c:v>-140.69628143138814</c:v>
                </c:pt>
                <c:pt idx="21">
                  <c:v>-141.62119113091779</c:v>
                </c:pt>
                <c:pt idx="22">
                  <c:v>-141.05448694900804</c:v>
                </c:pt>
                <c:pt idx="23">
                  <c:v>-137.48291845182914</c:v>
                </c:pt>
                <c:pt idx="24">
                  <c:v>-127.77089074175838</c:v>
                </c:pt>
                <c:pt idx="25">
                  <c:v>-107.43597508609918</c:v>
                </c:pt>
                <c:pt idx="26">
                  <c:v>-87.058324190798587</c:v>
                </c:pt>
                <c:pt idx="27">
                  <c:v>-1.7763568394002508E-14</c:v>
                </c:pt>
              </c:numCache>
            </c:numRef>
          </c:xVal>
          <c:yVal>
            <c:numRef>
              <c:f>SecGral!$AO$3:$AO$30</c:f>
              <c:numCache>
                <c:formatCode>General</c:formatCode>
                <c:ptCount val="28"/>
                <c:pt idx="0">
                  <c:v>27.0755008961168</c:v>
                </c:pt>
                <c:pt idx="1">
                  <c:v>26.471155049799577</c:v>
                </c:pt>
                <c:pt idx="2">
                  <c:v>22.314797571812317</c:v>
                </c:pt>
                <c:pt idx="3">
                  <c:v>18.6550508202813</c:v>
                </c:pt>
                <c:pt idx="4">
                  <c:v>13.724120674296698</c:v>
                </c:pt>
                <c:pt idx="5">
                  <c:v>7.5896987129522797</c:v>
                </c:pt>
                <c:pt idx="6">
                  <c:v>-0.27215649785011209</c:v>
                </c:pt>
                <c:pt idx="7">
                  <c:v>-3.477835791422331</c:v>
                </c:pt>
                <c:pt idx="8">
                  <c:v>-9.4694900885111295</c:v>
                </c:pt>
                <c:pt idx="9">
                  <c:v>-16.418201540347766</c:v>
                </c:pt>
                <c:pt idx="10">
                  <c:v>-24.675188609082962</c:v>
                </c:pt>
                <c:pt idx="11">
                  <c:v>-35.286572923933669</c:v>
                </c:pt>
                <c:pt idx="12">
                  <c:v>-42.393555062310199</c:v>
                </c:pt>
                <c:pt idx="13">
                  <c:v>-49.322167691842381</c:v>
                </c:pt>
                <c:pt idx="14">
                  <c:v>27.0755008961168</c:v>
                </c:pt>
                <c:pt idx="15">
                  <c:v>25.600944891593077</c:v>
                </c:pt>
                <c:pt idx="16">
                  <c:v>19.028341279938768</c:v>
                </c:pt>
                <c:pt idx="17">
                  <c:v>13.279953148413691</c:v>
                </c:pt>
                <c:pt idx="18">
                  <c:v>5.541840055483954</c:v>
                </c:pt>
                <c:pt idx="19">
                  <c:v>-1.4597797959467691</c:v>
                </c:pt>
                <c:pt idx="20">
                  <c:v>-10.227093911995549</c:v>
                </c:pt>
                <c:pt idx="21">
                  <c:v>-13.734996141108478</c:v>
                </c:pt>
                <c:pt idx="22">
                  <c:v>-19.922181342165899</c:v>
                </c:pt>
                <c:pt idx="23">
                  <c:v>-27.017259749259285</c:v>
                </c:pt>
                <c:pt idx="24">
                  <c:v>-34.557194890613232</c:v>
                </c:pt>
                <c:pt idx="25">
                  <c:v>-42.942715813526419</c:v>
                </c:pt>
                <c:pt idx="26">
                  <c:v>-47.93044956798218</c:v>
                </c:pt>
                <c:pt idx="27">
                  <c:v>-49.322167691842381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72-495C-A177-8B03E7C9933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SecGral!$U$3:$U$42</c:f>
            </c:numRef>
          </c:xVal>
          <c:yVal>
            <c:numRef>
              <c:f>SecGral!$Q$3:$Q$42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72-495C-A177-8B03E7C9933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SecGral!$AG$41:$AG$42</c:f>
              <c:numCache>
                <c:formatCode>General</c:formatCode>
                <c:ptCount val="2"/>
                <c:pt idx="0">
                  <c:v>128.64472460742383</c:v>
                </c:pt>
                <c:pt idx="1">
                  <c:v>-131.50754011488976</c:v>
                </c:pt>
              </c:numCache>
            </c:numRef>
          </c:xVal>
          <c:yVal>
            <c:numRef>
              <c:f>SecGral!$AD$41:$AD$42</c:f>
              <c:numCache>
                <c:formatCode>General</c:formatCode>
                <c:ptCount val="2"/>
                <c:pt idx="0">
                  <c:v>3.2207181734982271E-3</c:v>
                </c:pt>
                <c:pt idx="1">
                  <c:v>5.3140220109995084E-3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72-495C-A177-8B03E7C9933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SecGral!$L$4</c:f>
              <c:numCache>
                <c:formatCode>General</c:formatCode>
                <c:ptCount val="1"/>
                <c:pt idx="0">
                  <c:v>116.36416508346106</c:v>
                </c:pt>
              </c:numCache>
            </c:numRef>
          </c:xVal>
          <c:yVal>
            <c:numRef>
              <c:f>SecGral!$I$4</c:f>
              <c:numCache>
                <c:formatCode>General</c:formatCode>
                <c:ptCount val="1"/>
                <c:pt idx="0">
                  <c:v>8.0358412919467206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72-495C-A177-8B03E7C99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SecRecN!$C$45:$C$49</c:f>
              <c:numCache>
                <c:formatCode>General</c:formatCode>
                <c:ptCount val="5"/>
                <c:pt idx="0">
                  <c:v>-30.000000000000004</c:v>
                </c:pt>
                <c:pt idx="1">
                  <c:v>29.999999999999996</c:v>
                </c:pt>
                <c:pt idx="2">
                  <c:v>29.999999999999996</c:v>
                </c:pt>
                <c:pt idx="3">
                  <c:v>-30.000000000000004</c:v>
                </c:pt>
                <c:pt idx="4">
                  <c:v>-30.000000000000004</c:v>
                </c:pt>
              </c:numCache>
            </c:numRef>
          </c:xVal>
          <c:yVal>
            <c:numRef>
              <c:f>SecRecN!$D$45:$D$49</c:f>
              <c:numCache>
                <c:formatCode>General</c:formatCode>
                <c:ptCount val="5"/>
                <c:pt idx="0">
                  <c:v>-30.000000000000004</c:v>
                </c:pt>
                <c:pt idx="1">
                  <c:v>-30.000000000000004</c:v>
                </c:pt>
                <c:pt idx="2">
                  <c:v>29.999999999999996</c:v>
                </c:pt>
                <c:pt idx="3">
                  <c:v>29.999999999999996</c:v>
                </c:pt>
                <c:pt idx="4">
                  <c:v>-30.000000000000004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39-4456-8EA9-90293F99CB48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SecRecN!$J$45:$J$51</c:f>
              <c:numCache>
                <c:formatCode>General</c:formatCode>
                <c:ptCount val="7"/>
                <c:pt idx="0">
                  <c:v>22.417679114882439</c:v>
                </c:pt>
                <c:pt idx="1">
                  <c:v>-30.000000000000007</c:v>
                </c:pt>
                <c:pt idx="2">
                  <c:v>-30</c:v>
                </c:pt>
                <c:pt idx="3">
                  <c:v>22.417679114882439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SecRecN!$K$45:$K$51</c:f>
              <c:numCache>
                <c:formatCode>General</c:formatCode>
                <c:ptCount val="7"/>
                <c:pt idx="0">
                  <c:v>29.999999999999993</c:v>
                </c:pt>
                <c:pt idx="1">
                  <c:v>30</c:v>
                </c:pt>
                <c:pt idx="2">
                  <c:v>-11.83828441735827</c:v>
                </c:pt>
                <c:pt idx="3">
                  <c:v>29.999999999999993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39-4456-8EA9-90293F99CB48}"/>
            </c:ext>
          </c:extLst>
        </c:ser>
        <c:ser>
          <c:idx val="3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SecRecN!$Z$45:$Z$72</c:f>
              <c:numCache>
                <c:formatCode>General</c:formatCode>
                <c:ptCount val="28"/>
                <c:pt idx="0">
                  <c:v>-23.400000000000006</c:v>
                </c:pt>
                <c:pt idx="1">
                  <c:v>23.399999999999995</c:v>
                </c:pt>
                <c:pt idx="2">
                  <c:v>-23.400000000000006</c:v>
                </c:pt>
                <c:pt idx="3">
                  <c:v>23.399999999999995</c:v>
                </c:pt>
                <c:pt idx="4">
                  <c:v>-11.700000000000006</c:v>
                </c:pt>
                <c:pt idx="5">
                  <c:v>-11.700000000000006</c:v>
                </c:pt>
                <c:pt idx="6">
                  <c:v>0</c:v>
                </c:pt>
                <c:pt idx="7">
                  <c:v>0</c:v>
                </c:pt>
                <c:pt idx="8">
                  <c:v>11.699999999999992</c:v>
                </c:pt>
                <c:pt idx="9">
                  <c:v>11.699999999999992</c:v>
                </c:pt>
                <c:pt idx="10">
                  <c:v>-23.400000000000006</c:v>
                </c:pt>
                <c:pt idx="11">
                  <c:v>23.399999999999995</c:v>
                </c:pt>
                <c:pt idx="12">
                  <c:v>-23.400000000000006</c:v>
                </c:pt>
                <c:pt idx="13">
                  <c:v>23.399999999999995</c:v>
                </c:pt>
                <c:pt idx="14">
                  <c:v>-23.400000000000006</c:v>
                </c:pt>
                <c:pt idx="15">
                  <c:v>23.399999999999995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xVal>
          <c:yVal>
            <c:numRef>
              <c:f>SecRecN!$AA$45:$AA$72</c:f>
              <c:numCache>
                <c:formatCode>General</c:formatCode>
                <c:ptCount val="28"/>
                <c:pt idx="0">
                  <c:v>-23.400000000000006</c:v>
                </c:pt>
                <c:pt idx="1">
                  <c:v>-23.400000000000006</c:v>
                </c:pt>
                <c:pt idx="2">
                  <c:v>23.399999999999995</c:v>
                </c:pt>
                <c:pt idx="3">
                  <c:v>23.399999999999995</c:v>
                </c:pt>
                <c:pt idx="4">
                  <c:v>-23.400000000000006</c:v>
                </c:pt>
                <c:pt idx="5">
                  <c:v>23.399999999999995</c:v>
                </c:pt>
                <c:pt idx="6">
                  <c:v>-23.400000000000006</c:v>
                </c:pt>
                <c:pt idx="7">
                  <c:v>23.399999999999995</c:v>
                </c:pt>
                <c:pt idx="8">
                  <c:v>-23.400000000000006</c:v>
                </c:pt>
                <c:pt idx="9">
                  <c:v>23.399999999999995</c:v>
                </c:pt>
                <c:pt idx="10">
                  <c:v>-11.700000000000006</c:v>
                </c:pt>
                <c:pt idx="11">
                  <c:v>-11.700000000000006</c:v>
                </c:pt>
                <c:pt idx="12">
                  <c:v>0</c:v>
                </c:pt>
                <c:pt idx="13">
                  <c:v>0</c:v>
                </c:pt>
                <c:pt idx="14">
                  <c:v>11.699999999999992</c:v>
                </c:pt>
                <c:pt idx="15">
                  <c:v>11.699999999999992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39-4456-8EA9-90293F99C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  <c:majorUnit val="10"/>
        <c:minorUnit val="5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SecRecN!$AM$41:$AM$42</c:f>
              <c:numCache>
                <c:formatCode>General</c:formatCode>
                <c:ptCount val="2"/>
                <c:pt idx="0">
                  <c:v>3102.9942682772994</c:v>
                </c:pt>
                <c:pt idx="1">
                  <c:v>-3102.9942682772989</c:v>
                </c:pt>
              </c:numCache>
            </c:numRef>
          </c:xVal>
          <c:yVal>
            <c:numRef>
              <c:f>SecRecN!$AJ$41:$AJ$42</c:f>
              <c:numCache>
                <c:formatCode>General</c:formatCode>
                <c:ptCount val="2"/>
                <c:pt idx="0">
                  <c:v>-1.2614223135827274E-2</c:v>
                </c:pt>
                <c:pt idx="1">
                  <c:v>-1.2614223135827274E-2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3-4299-99F5-E520753E638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SecRecN!$AR$3:$AR$30</c:f>
              <c:numCache>
                <c:formatCode>General</c:formatCode>
                <c:ptCount val="28"/>
                <c:pt idx="0">
                  <c:v>2.1316282072803006E-14</c:v>
                </c:pt>
                <c:pt idx="1">
                  <c:v>367.05973732405937</c:v>
                </c:pt>
                <c:pt idx="2">
                  <c:v>1577.6690968730904</c:v>
                </c:pt>
                <c:pt idx="3">
                  <c:v>2668.3409477057462</c:v>
                </c:pt>
                <c:pt idx="4">
                  <c:v>3915.6821192114207</c:v>
                </c:pt>
                <c:pt idx="5">
                  <c:v>4099.572913714489</c:v>
                </c:pt>
                <c:pt idx="6">
                  <c:v>4086.1723076983167</c:v>
                </c:pt>
                <c:pt idx="7">
                  <c:v>3937.1981451816673</c:v>
                </c:pt>
                <c:pt idx="8">
                  <c:v>3886.8961134675856</c:v>
                </c:pt>
                <c:pt idx="9">
                  <c:v>3621.797800033436</c:v>
                </c:pt>
                <c:pt idx="10">
                  <c:v>3009.9442923852976</c:v>
                </c:pt>
                <c:pt idx="11">
                  <c:v>1969.9747111594115</c:v>
                </c:pt>
                <c:pt idx="12">
                  <c:v>1183.2128945039858</c:v>
                </c:pt>
                <c:pt idx="13">
                  <c:v>-2.5556001737792209E-14</c:v>
                </c:pt>
                <c:pt idx="14">
                  <c:v>4.2632564145605986E-14</c:v>
                </c:pt>
                <c:pt idx="15">
                  <c:v>-367.05973732405937</c:v>
                </c:pt>
                <c:pt idx="16">
                  <c:v>-1577.6690968730904</c:v>
                </c:pt>
                <c:pt idx="17">
                  <c:v>-2668.3409477057467</c:v>
                </c:pt>
                <c:pt idx="18">
                  <c:v>-3915.6821192114207</c:v>
                </c:pt>
                <c:pt idx="19">
                  <c:v>-4099.572913714489</c:v>
                </c:pt>
                <c:pt idx="20">
                  <c:v>-4086.1723076983171</c:v>
                </c:pt>
                <c:pt idx="21">
                  <c:v>-3937.1981451816673</c:v>
                </c:pt>
                <c:pt idx="22">
                  <c:v>-3886.8961134675856</c:v>
                </c:pt>
                <c:pt idx="23">
                  <c:v>-3621.797800033436</c:v>
                </c:pt>
                <c:pt idx="24">
                  <c:v>-3009.944292385298</c:v>
                </c:pt>
                <c:pt idx="25">
                  <c:v>-1969.9747111594115</c:v>
                </c:pt>
                <c:pt idx="26">
                  <c:v>-1183.2128945039858</c:v>
                </c:pt>
                <c:pt idx="27">
                  <c:v>1.9177636213568934E-14</c:v>
                </c:pt>
              </c:numCache>
            </c:numRef>
          </c:xVal>
          <c:yVal>
            <c:numRef>
              <c:f>SecRecN!$AO$3:$AO$30</c:f>
              <c:numCache>
                <c:formatCode>General</c:formatCode>
                <c:ptCount val="28"/>
                <c:pt idx="0">
                  <c:v>121.60224963869997</c:v>
                </c:pt>
                <c:pt idx="1">
                  <c:v>107.83233307459957</c:v>
                </c:pt>
                <c:pt idx="2">
                  <c:v>65.436628198701342</c:v>
                </c:pt>
                <c:pt idx="3">
                  <c:v>20.111737442928856</c:v>
                </c:pt>
                <c:pt idx="4">
                  <c:v>-41.917535384971529</c:v>
                </c:pt>
                <c:pt idx="5">
                  <c:v>-87.018718309160846</c:v>
                </c:pt>
                <c:pt idx="6">
                  <c:v>-148.1235902137276</c:v>
                </c:pt>
                <c:pt idx="7">
                  <c:v>-179.92653762787015</c:v>
                </c:pt>
                <c:pt idx="8">
                  <c:v>-229.72088719633859</c:v>
                </c:pt>
                <c:pt idx="9">
                  <c:v>-288.30848665471871</c:v>
                </c:pt>
                <c:pt idx="10">
                  <c:v>-353.37636807359945</c:v>
                </c:pt>
                <c:pt idx="11">
                  <c:v>-401.42505629724667</c:v>
                </c:pt>
                <c:pt idx="12">
                  <c:v>-401.42505629724667</c:v>
                </c:pt>
                <c:pt idx="13">
                  <c:v>-401.42505629724667</c:v>
                </c:pt>
                <c:pt idx="14">
                  <c:v>121.60224963869997</c:v>
                </c:pt>
                <c:pt idx="15">
                  <c:v>107.83233307459957</c:v>
                </c:pt>
                <c:pt idx="16">
                  <c:v>65.436628198701356</c:v>
                </c:pt>
                <c:pt idx="17">
                  <c:v>20.111737442928856</c:v>
                </c:pt>
                <c:pt idx="18">
                  <c:v>-41.917535384971529</c:v>
                </c:pt>
                <c:pt idx="19">
                  <c:v>-87.018718309160846</c:v>
                </c:pt>
                <c:pt idx="20">
                  <c:v>-148.12359021372757</c:v>
                </c:pt>
                <c:pt idx="21">
                  <c:v>-179.92653762787018</c:v>
                </c:pt>
                <c:pt idx="22">
                  <c:v>-229.72088719633859</c:v>
                </c:pt>
                <c:pt idx="23">
                  <c:v>-288.30848665471865</c:v>
                </c:pt>
                <c:pt idx="24">
                  <c:v>-353.37636807359945</c:v>
                </c:pt>
                <c:pt idx="25">
                  <c:v>-401.42505629724667</c:v>
                </c:pt>
                <c:pt idx="26">
                  <c:v>-401.42505629724667</c:v>
                </c:pt>
                <c:pt idx="27">
                  <c:v>-401.42505629724667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3-4299-99F5-E520753E638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SecRecN!$U$3:$U$42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SecRecN!$Q$3:$Q$42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03-4299-99F5-E520753E638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SecRecN!$AG$41:$AG$42</c:f>
              <c:numCache>
                <c:formatCode>General</c:formatCode>
                <c:ptCount val="2"/>
                <c:pt idx="0">
                  <c:v>3102.9942682772994</c:v>
                </c:pt>
                <c:pt idx="1">
                  <c:v>-3102.9942682772989</c:v>
                </c:pt>
              </c:numCache>
            </c:numRef>
          </c:xVal>
          <c:yVal>
            <c:numRef>
              <c:f>SecRecN!$AD$41:$AD$42</c:f>
              <c:numCache>
                <c:formatCode>General</c:formatCode>
                <c:ptCount val="2"/>
                <c:pt idx="0">
                  <c:v>-1.2614223135827274E-2</c:v>
                </c:pt>
                <c:pt idx="1">
                  <c:v>-1.2614223135827274E-2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03-4299-99F5-E520753E638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SecRecN!$L$4</c:f>
              <c:numCache>
                <c:formatCode>General</c:formatCode>
                <c:ptCount val="1"/>
                <c:pt idx="0">
                  <c:v>4125.8664648806243</c:v>
                </c:pt>
              </c:numCache>
            </c:numRef>
          </c:xVal>
          <c:yVal>
            <c:numRef>
              <c:f>SecRecN!$I$4</c:f>
              <c:numCache>
                <c:formatCode>General</c:formatCode>
                <c:ptCount val="1"/>
                <c:pt idx="0">
                  <c:v>-128.59279121494842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03-4299-99F5-E520753E6382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F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SecRecN!$L$9</c:f>
              <c:numCache>
                <c:formatCode>General</c:formatCode>
                <c:ptCount val="1"/>
                <c:pt idx="0">
                  <c:v>2841.6111910644104</c:v>
                </c:pt>
              </c:numCache>
            </c:numRef>
          </c:xVal>
          <c:yVal>
            <c:numRef>
              <c:f>SecRecN!$I$9</c:f>
              <c:numCache>
                <c:formatCode>General</c:formatCode>
                <c:ptCount val="1"/>
                <c:pt idx="0">
                  <c:v>-91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42-4B94-87BD-48C8D245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SecRecN!$AM$3:$AM$39</c:f>
              <c:numCache>
                <c:formatCode>General</c:formatCode>
                <c:ptCount val="37"/>
                <c:pt idx="0">
                  <c:v>2966.8839118573705</c:v>
                </c:pt>
                <c:pt idx="1">
                  <c:v>2886.5874684322953</c:v>
                </c:pt>
                <c:pt idx="2">
                  <c:v>2719.4814311520686</c:v>
                </c:pt>
                <c:pt idx="3">
                  <c:v>2539.7888418670832</c:v>
                </c:pt>
                <c:pt idx="4">
                  <c:v>2335.8477699281812</c:v>
                </c:pt>
                <c:pt idx="5">
                  <c:v>2050.3470423233875</c:v>
                </c:pt>
                <c:pt idx="6">
                  <c:v>1748.8680811168983</c:v>
                </c:pt>
                <c:pt idx="7">
                  <c:v>1330.2356965464169</c:v>
                </c:pt>
                <c:pt idx="8">
                  <c:v>696.07117402116023</c:v>
                </c:pt>
                <c:pt idx="9">
                  <c:v>3.8549615195194089E-13</c:v>
                </c:pt>
                <c:pt idx="10">
                  <c:v>-696.07117402115989</c:v>
                </c:pt>
                <c:pt idx="11">
                  <c:v>-1330.2356965464169</c:v>
                </c:pt>
                <c:pt idx="12">
                  <c:v>-1748.8680811168977</c:v>
                </c:pt>
                <c:pt idx="13">
                  <c:v>-2050.3470423233875</c:v>
                </c:pt>
                <c:pt idx="14">
                  <c:v>-2335.8477699281802</c:v>
                </c:pt>
                <c:pt idx="15">
                  <c:v>-2539.7888418670836</c:v>
                </c:pt>
                <c:pt idx="16">
                  <c:v>-2719.4814311520677</c:v>
                </c:pt>
                <c:pt idx="17">
                  <c:v>-2886.5874684322953</c:v>
                </c:pt>
                <c:pt idx="18">
                  <c:v>-2966.8839118573687</c:v>
                </c:pt>
                <c:pt idx="19">
                  <c:v>-2886.5874684322962</c:v>
                </c:pt>
                <c:pt idx="20">
                  <c:v>-2719.4814311520686</c:v>
                </c:pt>
                <c:pt idx="21">
                  <c:v>-2539.7888418670836</c:v>
                </c:pt>
                <c:pt idx="22">
                  <c:v>-2335.8477699281812</c:v>
                </c:pt>
                <c:pt idx="23">
                  <c:v>-2050.347042323388</c:v>
                </c:pt>
                <c:pt idx="24">
                  <c:v>-1748.8680811168997</c:v>
                </c:pt>
                <c:pt idx="25">
                  <c:v>-1330.235696546416</c:v>
                </c:pt>
                <c:pt idx="26">
                  <c:v>-696.07117402115989</c:v>
                </c:pt>
                <c:pt idx="27">
                  <c:v>-8.2298320864965108E-13</c:v>
                </c:pt>
                <c:pt idx="28">
                  <c:v>696.07117402115853</c:v>
                </c:pt>
                <c:pt idx="29">
                  <c:v>1330.2356965464153</c:v>
                </c:pt>
                <c:pt idx="30">
                  <c:v>1748.8680811168983</c:v>
                </c:pt>
                <c:pt idx="31">
                  <c:v>2050.3470423233875</c:v>
                </c:pt>
                <c:pt idx="32">
                  <c:v>2335.8477699281802</c:v>
                </c:pt>
                <c:pt idx="33">
                  <c:v>2539.7888418670832</c:v>
                </c:pt>
                <c:pt idx="34">
                  <c:v>2719.4814311520686</c:v>
                </c:pt>
                <c:pt idx="35">
                  <c:v>2886.5874684322948</c:v>
                </c:pt>
                <c:pt idx="36">
                  <c:v>2966.8839118573705</c:v>
                </c:pt>
              </c:numCache>
            </c:numRef>
          </c:xVal>
          <c:yVal>
            <c:numRef>
              <c:f>SecRecN!$AL$3:$AL$39</c:f>
              <c:numCache>
                <c:formatCode>General</c:formatCode>
                <c:ptCount val="37"/>
                <c:pt idx="0">
                  <c:v>-5.6843418860808015E-14</c:v>
                </c:pt>
                <c:pt idx="1">
                  <c:v>696.07117402116012</c:v>
                </c:pt>
                <c:pt idx="2">
                  <c:v>1330.2356965464166</c:v>
                </c:pt>
                <c:pt idx="3">
                  <c:v>1748.8680811168981</c:v>
                </c:pt>
                <c:pt idx="4">
                  <c:v>2050.347042323388</c:v>
                </c:pt>
                <c:pt idx="5">
                  <c:v>2335.8477699281807</c:v>
                </c:pt>
                <c:pt idx="6">
                  <c:v>2539.7888418670823</c:v>
                </c:pt>
                <c:pt idx="7">
                  <c:v>2719.4814311520677</c:v>
                </c:pt>
                <c:pt idx="8">
                  <c:v>2886.5874684322944</c:v>
                </c:pt>
                <c:pt idx="9">
                  <c:v>2966.8839118573687</c:v>
                </c:pt>
                <c:pt idx="10">
                  <c:v>2886.5874684322953</c:v>
                </c:pt>
                <c:pt idx="11">
                  <c:v>2719.481431152069</c:v>
                </c:pt>
                <c:pt idx="12">
                  <c:v>2539.7888418670832</c:v>
                </c:pt>
                <c:pt idx="13">
                  <c:v>2335.8477699281807</c:v>
                </c:pt>
                <c:pt idx="14">
                  <c:v>2050.347042323388</c:v>
                </c:pt>
                <c:pt idx="15">
                  <c:v>1748.8680811168983</c:v>
                </c:pt>
                <c:pt idx="16">
                  <c:v>1330.2356965464169</c:v>
                </c:pt>
                <c:pt idx="17">
                  <c:v>696.07117402115989</c:v>
                </c:pt>
                <c:pt idx="18">
                  <c:v>4.1236797688209366E-13</c:v>
                </c:pt>
                <c:pt idx="19">
                  <c:v>-696.07117402115875</c:v>
                </c:pt>
                <c:pt idx="20">
                  <c:v>-1330.2356965464164</c:v>
                </c:pt>
                <c:pt idx="21">
                  <c:v>-1748.8680811168981</c:v>
                </c:pt>
                <c:pt idx="22">
                  <c:v>-2050.347042323388</c:v>
                </c:pt>
                <c:pt idx="23">
                  <c:v>-2335.8477699281802</c:v>
                </c:pt>
                <c:pt idx="24">
                  <c:v>-2539.7888418670836</c:v>
                </c:pt>
                <c:pt idx="25">
                  <c:v>-2719.4814311520681</c:v>
                </c:pt>
                <c:pt idx="26">
                  <c:v>-2886.5874684322944</c:v>
                </c:pt>
                <c:pt idx="27">
                  <c:v>-2966.8839118573696</c:v>
                </c:pt>
                <c:pt idx="28">
                  <c:v>-2886.5874684322957</c:v>
                </c:pt>
                <c:pt idx="29">
                  <c:v>-2719.4814311520704</c:v>
                </c:pt>
                <c:pt idx="30">
                  <c:v>-2539.7888418670823</c:v>
                </c:pt>
                <c:pt idx="31">
                  <c:v>-2335.8477699281812</c:v>
                </c:pt>
                <c:pt idx="32">
                  <c:v>-2050.347042323388</c:v>
                </c:pt>
                <c:pt idx="33">
                  <c:v>-1748.8680811168995</c:v>
                </c:pt>
                <c:pt idx="34">
                  <c:v>-1330.2356965464164</c:v>
                </c:pt>
                <c:pt idx="35">
                  <c:v>-696.07117402116023</c:v>
                </c:pt>
                <c:pt idx="36">
                  <c:v>-5.6843418860808015E-14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6B-479B-A56A-E85FBFA7ADF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SecRecN!$AQ$3:$AQ$30</c:f>
              <c:numCache>
                <c:formatCode>General</c:formatCode>
                <c:ptCount val="28"/>
                <c:pt idx="0">
                  <c:v>1.0531067169678895E-13</c:v>
                </c:pt>
                <c:pt idx="1">
                  <c:v>273.31353507627796</c:v>
                </c:pt>
                <c:pt idx="2">
                  <c:v>1177.8935302668267</c:v>
                </c:pt>
                <c:pt idx="3">
                  <c:v>2020.6116744754704</c:v>
                </c:pt>
                <c:pt idx="4">
                  <c:v>3007.2738478095371</c:v>
                </c:pt>
                <c:pt idx="5">
                  <c:v>3188.9393666489445</c:v>
                </c:pt>
                <c:pt idx="6">
                  <c:v>3249.2211185095161</c:v>
                </c:pt>
                <c:pt idx="7">
                  <c:v>3195.7115326063658</c:v>
                </c:pt>
                <c:pt idx="8">
                  <c:v>3185.1572432218827</c:v>
                </c:pt>
                <c:pt idx="9">
                  <c:v>2910.2608290520056</c:v>
                </c:pt>
                <c:pt idx="10">
                  <c:v>2342.8729283463549</c:v>
                </c:pt>
                <c:pt idx="11">
                  <c:v>1494.9499065370571</c:v>
                </c:pt>
                <c:pt idx="12">
                  <c:v>892.6640532205289</c:v>
                </c:pt>
                <c:pt idx="13">
                  <c:v>-7.3262451983263005E-14</c:v>
                </c:pt>
                <c:pt idx="14">
                  <c:v>1.751611032934384E-13</c:v>
                </c:pt>
                <c:pt idx="15">
                  <c:v>-273.31353507627779</c:v>
                </c:pt>
                <c:pt idx="16">
                  <c:v>-1177.8935302668265</c:v>
                </c:pt>
                <c:pt idx="17">
                  <c:v>-2020.6116744754709</c:v>
                </c:pt>
                <c:pt idx="18">
                  <c:v>-3007.2738478095375</c:v>
                </c:pt>
                <c:pt idx="19">
                  <c:v>-3188.939366648945</c:v>
                </c:pt>
                <c:pt idx="20">
                  <c:v>-3249.2211185095166</c:v>
                </c:pt>
                <c:pt idx="21">
                  <c:v>-3195.7115326063667</c:v>
                </c:pt>
                <c:pt idx="22">
                  <c:v>-3185.1572432218832</c:v>
                </c:pt>
                <c:pt idx="23">
                  <c:v>-2910.2608290520061</c:v>
                </c:pt>
                <c:pt idx="24">
                  <c:v>-2342.8729283463558</c:v>
                </c:pt>
                <c:pt idx="25">
                  <c:v>-1494.9499065370574</c:v>
                </c:pt>
                <c:pt idx="26">
                  <c:v>-892.66405322052901</c:v>
                </c:pt>
                <c:pt idx="27">
                  <c:v>-5.2503338795763529E-14</c:v>
                </c:pt>
              </c:numCache>
            </c:numRef>
          </c:xVal>
          <c:yVal>
            <c:numRef>
              <c:f>SecRecN!$AP$3:$AP$30</c:f>
              <c:numCache>
                <c:formatCode>General</c:formatCode>
                <c:ptCount val="28"/>
                <c:pt idx="0">
                  <c:v>-9.7769552938715726E-14</c:v>
                </c:pt>
                <c:pt idx="1">
                  <c:v>245.97884785751558</c:v>
                </c:pt>
                <c:pt idx="2">
                  <c:v>1053.2922940467101</c:v>
                </c:pt>
                <c:pt idx="3">
                  <c:v>1745.8481860151369</c:v>
                </c:pt>
                <c:pt idx="4">
                  <c:v>2509.2056006236598</c:v>
                </c:pt>
                <c:pt idx="5">
                  <c:v>2576.383752490081</c:v>
                </c:pt>
                <c:pt idx="6">
                  <c:v>2479.3774989465351</c:v>
                </c:pt>
                <c:pt idx="7">
                  <c:v>2307.6094011860919</c:v>
                </c:pt>
                <c:pt idx="8">
                  <c:v>2240.1974055455976</c:v>
                </c:pt>
                <c:pt idx="9">
                  <c:v>2159.6477328062911</c:v>
                </c:pt>
                <c:pt idx="10">
                  <c:v>1889.6951336870181</c:v>
                </c:pt>
                <c:pt idx="11">
                  <c:v>1284.936918596062</c:v>
                </c:pt>
                <c:pt idx="12">
                  <c:v>778.32546182231749</c:v>
                </c:pt>
                <c:pt idx="13">
                  <c:v>5.0821144341063508E-14</c:v>
                </c:pt>
                <c:pt idx="14">
                  <c:v>-1.5111224868692427E-13</c:v>
                </c:pt>
                <c:pt idx="15">
                  <c:v>-245.97884785751575</c:v>
                </c:pt>
                <c:pt idx="16">
                  <c:v>-1053.2922940467104</c:v>
                </c:pt>
                <c:pt idx="17">
                  <c:v>-1745.8481860151373</c:v>
                </c:pt>
                <c:pt idx="18">
                  <c:v>-2509.2056006236598</c:v>
                </c:pt>
                <c:pt idx="19">
                  <c:v>-2576.3837524900805</c:v>
                </c:pt>
                <c:pt idx="20">
                  <c:v>-2479.3774989465346</c:v>
                </c:pt>
                <c:pt idx="21">
                  <c:v>-2307.609401186091</c:v>
                </c:pt>
                <c:pt idx="22">
                  <c:v>-2240.1974055455971</c:v>
                </c:pt>
                <c:pt idx="23">
                  <c:v>-2159.6477328062902</c:v>
                </c:pt>
                <c:pt idx="24">
                  <c:v>-1889.6951336870184</c:v>
                </c:pt>
                <c:pt idx="25">
                  <c:v>-1284.9369185960616</c:v>
                </c:pt>
                <c:pt idx="26">
                  <c:v>-778.32546182231738</c:v>
                </c:pt>
                <c:pt idx="27">
                  <c:v>9.6521646020632495E-14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6B-479B-A56A-E85FBFA7ADF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SecRecN!$S$3:$S$176</c:f>
              <c:numCache>
                <c:formatCode>General</c:formatCode>
                <c:ptCount val="174"/>
              </c:numCache>
            </c:numRef>
          </c:xVal>
          <c:yVal>
            <c:numRef>
              <c:f>SecRecN!$R$3:$R$176</c:f>
              <c:numCache>
                <c:formatCode>General</c:formatCode>
                <c:ptCount val="1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6B-479B-A56A-E85FBFA7ADF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SecRecN!$AG$3:$AG$39</c:f>
              <c:numCache>
                <c:formatCode>General</c:formatCode>
                <c:ptCount val="37"/>
                <c:pt idx="0">
                  <c:v>2966.8839118573705</c:v>
                </c:pt>
                <c:pt idx="1">
                  <c:v>2886.5874684322953</c:v>
                </c:pt>
                <c:pt idx="2">
                  <c:v>2719.4814311520686</c:v>
                </c:pt>
                <c:pt idx="3">
                  <c:v>2539.7888418670832</c:v>
                </c:pt>
                <c:pt idx="4">
                  <c:v>2335.8477699281812</c:v>
                </c:pt>
                <c:pt idx="5">
                  <c:v>2050.3470423233875</c:v>
                </c:pt>
                <c:pt idx="6">
                  <c:v>1748.8680811168983</c:v>
                </c:pt>
                <c:pt idx="7">
                  <c:v>1330.2356965464169</c:v>
                </c:pt>
                <c:pt idx="8">
                  <c:v>696.07117402116023</c:v>
                </c:pt>
                <c:pt idx="9">
                  <c:v>3.8549615195194089E-13</c:v>
                </c:pt>
                <c:pt idx="10">
                  <c:v>-696.07117402115989</c:v>
                </c:pt>
                <c:pt idx="11">
                  <c:v>-1330.2356965464169</c:v>
                </c:pt>
                <c:pt idx="12">
                  <c:v>-1748.8680811168977</c:v>
                </c:pt>
                <c:pt idx="13">
                  <c:v>-2050.3470423233875</c:v>
                </c:pt>
                <c:pt idx="14">
                  <c:v>-2335.8477699281802</c:v>
                </c:pt>
                <c:pt idx="15">
                  <c:v>-2539.7888418670836</c:v>
                </c:pt>
                <c:pt idx="16">
                  <c:v>-2719.4814311520677</c:v>
                </c:pt>
                <c:pt idx="17">
                  <c:v>-2886.5874684322953</c:v>
                </c:pt>
                <c:pt idx="18">
                  <c:v>-2966.8839118573687</c:v>
                </c:pt>
                <c:pt idx="19">
                  <c:v>-2886.5874684322962</c:v>
                </c:pt>
                <c:pt idx="20">
                  <c:v>-2719.4814311520686</c:v>
                </c:pt>
                <c:pt idx="21">
                  <c:v>-2539.7888418670836</c:v>
                </c:pt>
                <c:pt idx="22">
                  <c:v>-2335.8477699281812</c:v>
                </c:pt>
                <c:pt idx="23">
                  <c:v>-2050.347042323388</c:v>
                </c:pt>
                <c:pt idx="24">
                  <c:v>-1748.8680811168997</c:v>
                </c:pt>
                <c:pt idx="25">
                  <c:v>-1330.235696546416</c:v>
                </c:pt>
                <c:pt idx="26">
                  <c:v>-696.07117402115989</c:v>
                </c:pt>
                <c:pt idx="27">
                  <c:v>-8.2298320864965108E-13</c:v>
                </c:pt>
                <c:pt idx="28">
                  <c:v>696.07117402115853</c:v>
                </c:pt>
                <c:pt idx="29">
                  <c:v>1330.2356965464153</c:v>
                </c:pt>
                <c:pt idx="30">
                  <c:v>1748.8680811168983</c:v>
                </c:pt>
                <c:pt idx="31">
                  <c:v>2050.3470423233875</c:v>
                </c:pt>
                <c:pt idx="32">
                  <c:v>2335.8477699281802</c:v>
                </c:pt>
                <c:pt idx="33">
                  <c:v>2539.7888418670832</c:v>
                </c:pt>
                <c:pt idx="34">
                  <c:v>2719.4814311520686</c:v>
                </c:pt>
                <c:pt idx="35">
                  <c:v>2886.5874684322948</c:v>
                </c:pt>
                <c:pt idx="36">
                  <c:v>2966.8839118573705</c:v>
                </c:pt>
              </c:numCache>
            </c:numRef>
          </c:xVal>
          <c:yVal>
            <c:numRef>
              <c:f>SecRecN!$AF$3:$AF$39</c:f>
              <c:numCache>
                <c:formatCode>General</c:formatCode>
                <c:ptCount val="37"/>
                <c:pt idx="0">
                  <c:v>-5.6843418860808015E-14</c:v>
                </c:pt>
                <c:pt idx="1">
                  <c:v>696.07117402116012</c:v>
                </c:pt>
                <c:pt idx="2">
                  <c:v>1330.2356965464166</c:v>
                </c:pt>
                <c:pt idx="3">
                  <c:v>1748.8680811168981</c:v>
                </c:pt>
                <c:pt idx="4">
                  <c:v>2050.347042323388</c:v>
                </c:pt>
                <c:pt idx="5">
                  <c:v>2335.8477699281807</c:v>
                </c:pt>
                <c:pt idx="6">
                  <c:v>2539.7888418670823</c:v>
                </c:pt>
                <c:pt idx="7">
                  <c:v>2719.4814311520677</c:v>
                </c:pt>
                <c:pt idx="8">
                  <c:v>2886.5874684322944</c:v>
                </c:pt>
                <c:pt idx="9">
                  <c:v>2966.8839118573687</c:v>
                </c:pt>
                <c:pt idx="10">
                  <c:v>2886.5874684322953</c:v>
                </c:pt>
                <c:pt idx="11">
                  <c:v>2719.481431152069</c:v>
                </c:pt>
                <c:pt idx="12">
                  <c:v>2539.7888418670832</c:v>
                </c:pt>
                <c:pt idx="13">
                  <c:v>2335.8477699281807</c:v>
                </c:pt>
                <c:pt idx="14">
                  <c:v>2050.347042323388</c:v>
                </c:pt>
                <c:pt idx="15">
                  <c:v>1748.8680811168983</c:v>
                </c:pt>
                <c:pt idx="16">
                  <c:v>1330.2356965464169</c:v>
                </c:pt>
                <c:pt idx="17">
                  <c:v>696.07117402115989</c:v>
                </c:pt>
                <c:pt idx="18">
                  <c:v>4.1236797688209366E-13</c:v>
                </c:pt>
                <c:pt idx="19">
                  <c:v>-696.07117402115875</c:v>
                </c:pt>
                <c:pt idx="20">
                  <c:v>-1330.2356965464164</c:v>
                </c:pt>
                <c:pt idx="21">
                  <c:v>-1748.8680811168981</c:v>
                </c:pt>
                <c:pt idx="22">
                  <c:v>-2050.347042323388</c:v>
                </c:pt>
                <c:pt idx="23">
                  <c:v>-2335.8477699281802</c:v>
                </c:pt>
                <c:pt idx="24">
                  <c:v>-2539.7888418670836</c:v>
                </c:pt>
                <c:pt idx="25">
                  <c:v>-2719.4814311520681</c:v>
                </c:pt>
                <c:pt idx="26">
                  <c:v>-2886.5874684322944</c:v>
                </c:pt>
                <c:pt idx="27">
                  <c:v>-2966.8839118573696</c:v>
                </c:pt>
                <c:pt idx="28">
                  <c:v>-2886.5874684322957</c:v>
                </c:pt>
                <c:pt idx="29">
                  <c:v>-2719.4814311520704</c:v>
                </c:pt>
                <c:pt idx="30">
                  <c:v>-2539.7888418670823</c:v>
                </c:pt>
                <c:pt idx="31">
                  <c:v>-2335.8477699281812</c:v>
                </c:pt>
                <c:pt idx="32">
                  <c:v>-2050.347042323388</c:v>
                </c:pt>
                <c:pt idx="33">
                  <c:v>-1748.8680811168995</c:v>
                </c:pt>
                <c:pt idx="34">
                  <c:v>-1330.2356965464164</c:v>
                </c:pt>
                <c:pt idx="35">
                  <c:v>-696.07117402116023</c:v>
                </c:pt>
                <c:pt idx="36">
                  <c:v>-5.6843418860808015E-14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6B-479B-A56A-E85FBFA7ADF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SecRecN!$K$4</c:f>
              <c:numCache>
                <c:formatCode>General</c:formatCode>
                <c:ptCount val="1"/>
                <c:pt idx="0">
                  <c:v>3250.4799659290129</c:v>
                </c:pt>
              </c:numCache>
            </c:numRef>
          </c:xVal>
          <c:yVal>
            <c:numRef>
              <c:f>SecRecN!$J$4</c:f>
              <c:numCache>
                <c:formatCode>General</c:formatCode>
                <c:ptCount val="1"/>
                <c:pt idx="0">
                  <c:v>2541.4308003989804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6B-479B-A56A-E85FBFA7A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gradFill rotWithShape="1">
                  <a:gsLst>
                    <a:gs pos="0">
                      <a:schemeClr val="accent2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2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2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9525" cap="flat" cmpd="sng" algn="ctr">
                  <a:solidFill>
                    <a:schemeClr val="accent2">
                      <a:shade val="95000"/>
                    </a:schemeClr>
                  </a:solidFill>
                  <a:round/>
                </a:ln>
                <a:effectLst/>
              </c:spPr>
            </c:marker>
            <c:bubble3D val="0"/>
            <c:spPr>
              <a:ln w="19050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73CB-4218-A8B7-143FE7B8B980}"/>
              </c:ext>
            </c:extLst>
          </c:dPt>
          <c:xVal>
            <c:numRef>
              <c:f>SecRecS!$C$45:$C$49</c:f>
              <c:numCache>
                <c:formatCode>General</c:formatCode>
                <c:ptCount val="5"/>
                <c:pt idx="0">
                  <c:v>-30.000000000000004</c:v>
                </c:pt>
                <c:pt idx="1">
                  <c:v>29.999999999999996</c:v>
                </c:pt>
                <c:pt idx="2">
                  <c:v>29.999999999999996</c:v>
                </c:pt>
                <c:pt idx="3">
                  <c:v>-30.000000000000004</c:v>
                </c:pt>
                <c:pt idx="4">
                  <c:v>-30.000000000000004</c:v>
                </c:pt>
              </c:numCache>
            </c:numRef>
          </c:xVal>
          <c:yVal>
            <c:numRef>
              <c:f>SecRecS!$D$45:$D$49</c:f>
              <c:numCache>
                <c:formatCode>General</c:formatCode>
                <c:ptCount val="5"/>
                <c:pt idx="0">
                  <c:v>-30.000000000000004</c:v>
                </c:pt>
                <c:pt idx="1">
                  <c:v>-30.000000000000004</c:v>
                </c:pt>
                <c:pt idx="2">
                  <c:v>29.999999999999996</c:v>
                </c:pt>
                <c:pt idx="3">
                  <c:v>29.999999999999996</c:v>
                </c:pt>
                <c:pt idx="4">
                  <c:v>-30.000000000000004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B-4218-A8B7-143FE7B8B980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SecRecS!$J$45:$J$51</c:f>
              <c:numCache>
                <c:formatCode>General</c:formatCode>
                <c:ptCount val="7"/>
                <c:pt idx="0">
                  <c:v>21.61711600008087</c:v>
                </c:pt>
                <c:pt idx="1">
                  <c:v>-30.000000000000007</c:v>
                </c:pt>
                <c:pt idx="2">
                  <c:v>-30.000000000000007</c:v>
                </c:pt>
                <c:pt idx="3">
                  <c:v>21.61711600008087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SecRecS!$K$45:$K$51</c:f>
              <c:numCache>
                <c:formatCode>General</c:formatCode>
                <c:ptCount val="7"/>
                <c:pt idx="0">
                  <c:v>30</c:v>
                </c:pt>
                <c:pt idx="1">
                  <c:v>30</c:v>
                </c:pt>
                <c:pt idx="2">
                  <c:v>-11.120531686432681</c:v>
                </c:pt>
                <c:pt idx="3">
                  <c:v>30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CB-4218-A8B7-143FE7B8B980}"/>
            </c:ext>
          </c:extLst>
        </c:ser>
        <c:ser>
          <c:idx val="3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SecRecS!$Z$45:$Z$72</c:f>
              <c:numCache>
                <c:formatCode>General</c:formatCode>
                <c:ptCount val="28"/>
                <c:pt idx="0">
                  <c:v>-23.000000000000004</c:v>
                </c:pt>
                <c:pt idx="1">
                  <c:v>22.999999999999996</c:v>
                </c:pt>
                <c:pt idx="2">
                  <c:v>-23.000000000000004</c:v>
                </c:pt>
                <c:pt idx="3">
                  <c:v>22.999999999999996</c:v>
                </c:pt>
                <c:pt idx="4">
                  <c:v>-7.600000000000005</c:v>
                </c:pt>
                <c:pt idx="5">
                  <c:v>-7.600000000000005</c:v>
                </c:pt>
                <c:pt idx="6">
                  <c:v>7.5999999999999979</c:v>
                </c:pt>
                <c:pt idx="7">
                  <c:v>7.5999999999999979</c:v>
                </c:pt>
                <c:pt idx="8">
                  <c:v>-23.200000000000003</c:v>
                </c:pt>
                <c:pt idx="9">
                  <c:v>23.2</c:v>
                </c:pt>
                <c:pt idx="10">
                  <c:v>-23.200000000000003</c:v>
                </c:pt>
                <c:pt idx="11">
                  <c:v>23.2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xVal>
          <c:yVal>
            <c:numRef>
              <c:f>SecRecS!$AA$45:$AA$72</c:f>
              <c:numCache>
                <c:formatCode>General</c:formatCode>
                <c:ptCount val="28"/>
                <c:pt idx="0">
                  <c:v>-23.000000000000004</c:v>
                </c:pt>
                <c:pt idx="1">
                  <c:v>-23.000000000000004</c:v>
                </c:pt>
                <c:pt idx="2">
                  <c:v>22.999999999999996</c:v>
                </c:pt>
                <c:pt idx="3">
                  <c:v>22.999999999999996</c:v>
                </c:pt>
                <c:pt idx="4">
                  <c:v>-23.200000000000003</c:v>
                </c:pt>
                <c:pt idx="5">
                  <c:v>23.2</c:v>
                </c:pt>
                <c:pt idx="6">
                  <c:v>-23.200000000000003</c:v>
                </c:pt>
                <c:pt idx="7">
                  <c:v>23.2</c:v>
                </c:pt>
                <c:pt idx="8">
                  <c:v>-7.600000000000005</c:v>
                </c:pt>
                <c:pt idx="9">
                  <c:v>-7.600000000000005</c:v>
                </c:pt>
                <c:pt idx="10">
                  <c:v>7.5999999999999979</c:v>
                </c:pt>
                <c:pt idx="11">
                  <c:v>7.5999999999999979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CB-4218-A8B7-143FE7B8B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  <c:majorUnit val="10"/>
        <c:minorUnit val="5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SecRecS!$AM$41:$AM$42</c:f>
              <c:numCache>
                <c:formatCode>General</c:formatCode>
                <c:ptCount val="2"/>
                <c:pt idx="0">
                  <c:v>2872.0229022380563</c:v>
                </c:pt>
                <c:pt idx="1">
                  <c:v>-2872.0229022380554</c:v>
                </c:pt>
              </c:numCache>
            </c:numRef>
          </c:xVal>
          <c:yVal>
            <c:numRef>
              <c:f>SecRecS!$AJ$41:$AJ$42</c:f>
              <c:numCache>
                <c:formatCode>General</c:formatCode>
                <c:ptCount val="2"/>
                <c:pt idx="0">
                  <c:v>2.9184558060521226E-2</c:v>
                </c:pt>
                <c:pt idx="1">
                  <c:v>2.9184558060492805E-2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DD-4904-AC25-6A4B87FE252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SecRecS!$AR$3:$AR$30</c:f>
              <c:numCache>
                <c:formatCode>General</c:formatCode>
                <c:ptCount val="28"/>
                <c:pt idx="0">
                  <c:v>-1.4210854715202004E-14</c:v>
                </c:pt>
                <c:pt idx="1">
                  <c:v>363.84760828833384</c:v>
                </c:pt>
                <c:pt idx="2">
                  <c:v>1520.8137810302974</c:v>
                </c:pt>
                <c:pt idx="3">
                  <c:v>2584.7560910225179</c:v>
                </c:pt>
                <c:pt idx="4">
                  <c:v>3792.7953835635626</c:v>
                </c:pt>
                <c:pt idx="5">
                  <c:v>3974.2302023307038</c:v>
                </c:pt>
                <c:pt idx="6">
                  <c:v>3974.6709706651759</c:v>
                </c:pt>
                <c:pt idx="7">
                  <c:v>3865.394054242297</c:v>
                </c:pt>
                <c:pt idx="8">
                  <c:v>3827.5729269755375</c:v>
                </c:pt>
                <c:pt idx="9">
                  <c:v>3589.0423655045142</c:v>
                </c:pt>
                <c:pt idx="10">
                  <c:v>3006.7295571105842</c:v>
                </c:pt>
                <c:pt idx="11">
                  <c:v>1986.2918855575213</c:v>
                </c:pt>
                <c:pt idx="12">
                  <c:v>1197.8632204692958</c:v>
                </c:pt>
                <c:pt idx="13">
                  <c:v>2.5164757492314749E-14</c:v>
                </c:pt>
                <c:pt idx="14">
                  <c:v>-2.8421709430403979E-14</c:v>
                </c:pt>
                <c:pt idx="15">
                  <c:v>-363.84760828833373</c:v>
                </c:pt>
                <c:pt idx="16">
                  <c:v>-1520.8137810302972</c:v>
                </c:pt>
                <c:pt idx="17">
                  <c:v>-2584.7560910225175</c:v>
                </c:pt>
                <c:pt idx="18">
                  <c:v>-3792.7953835635617</c:v>
                </c:pt>
                <c:pt idx="19">
                  <c:v>-3974.2302023307029</c:v>
                </c:pt>
                <c:pt idx="20">
                  <c:v>-3974.6709706651745</c:v>
                </c:pt>
                <c:pt idx="21">
                  <c:v>-3865.3940542422956</c:v>
                </c:pt>
                <c:pt idx="22">
                  <c:v>-3827.5729269755366</c:v>
                </c:pt>
                <c:pt idx="23">
                  <c:v>-3589.042365504512</c:v>
                </c:pt>
                <c:pt idx="24">
                  <c:v>-3006.7295571105828</c:v>
                </c:pt>
                <c:pt idx="25">
                  <c:v>-1986.2918855575217</c:v>
                </c:pt>
                <c:pt idx="26">
                  <c:v>-1197.8632204692958</c:v>
                </c:pt>
                <c:pt idx="27">
                  <c:v>-9.115552516833656E-14</c:v>
                </c:pt>
              </c:numCache>
            </c:numRef>
          </c:xVal>
          <c:yVal>
            <c:numRef>
              <c:f>SecRecS!$AO$3:$AO$30</c:f>
              <c:numCache>
                <c:formatCode>General</c:formatCode>
                <c:ptCount val="28"/>
                <c:pt idx="0">
                  <c:v>108.30200358446717</c:v>
                </c:pt>
                <c:pt idx="1">
                  <c:v>95.349299598916758</c:v>
                </c:pt>
                <c:pt idx="2">
                  <c:v>56.219142642837483</c:v>
                </c:pt>
                <c:pt idx="3">
                  <c:v>12.948958411247219</c:v>
                </c:pt>
                <c:pt idx="4">
                  <c:v>-46.236556895807936</c:v>
                </c:pt>
                <c:pt idx="5">
                  <c:v>-89.053557048164492</c:v>
                </c:pt>
                <c:pt idx="6">
                  <c:v>-145.97397558341356</c:v>
                </c:pt>
                <c:pt idx="7">
                  <c:v>-175.58531874189677</c:v>
                </c:pt>
                <c:pt idx="8">
                  <c:v>-223.56995638851956</c:v>
                </c:pt>
                <c:pt idx="9">
                  <c:v>-280.90941873340279</c:v>
                </c:pt>
                <c:pt idx="10">
                  <c:v>-345.20765080126711</c:v>
                </c:pt>
                <c:pt idx="11">
                  <c:v>-394.06706462365651</c:v>
                </c:pt>
                <c:pt idx="12">
                  <c:v>-394.06706462365651</c:v>
                </c:pt>
                <c:pt idx="13">
                  <c:v>-394.06706462365651</c:v>
                </c:pt>
                <c:pt idx="14">
                  <c:v>108.30200358446717</c:v>
                </c:pt>
                <c:pt idx="15">
                  <c:v>95.349299598916758</c:v>
                </c:pt>
                <c:pt idx="16">
                  <c:v>56.219142642837483</c:v>
                </c:pt>
                <c:pt idx="17">
                  <c:v>12.948958411247212</c:v>
                </c:pt>
                <c:pt idx="18">
                  <c:v>-46.236556895807944</c:v>
                </c:pt>
                <c:pt idx="19">
                  <c:v>-89.053557048164464</c:v>
                </c:pt>
                <c:pt idx="20">
                  <c:v>-145.97397558341353</c:v>
                </c:pt>
                <c:pt idx="21">
                  <c:v>-175.58531874189674</c:v>
                </c:pt>
                <c:pt idx="22">
                  <c:v>-223.56995638851942</c:v>
                </c:pt>
                <c:pt idx="23">
                  <c:v>-280.90941873340273</c:v>
                </c:pt>
                <c:pt idx="24">
                  <c:v>-345.20765080126705</c:v>
                </c:pt>
                <c:pt idx="25">
                  <c:v>-394.06706462365651</c:v>
                </c:pt>
                <c:pt idx="26">
                  <c:v>-394.06706462365651</c:v>
                </c:pt>
                <c:pt idx="27">
                  <c:v>-394.06706462365651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DD-4904-AC25-6A4B87FE252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SecRecS!$U$3:$U$42</c:f>
            </c:numRef>
          </c:xVal>
          <c:yVal>
            <c:numRef>
              <c:f>SecRecS!$Q$3:$Q$42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DD-4904-AC25-6A4B87FE252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SecRecS!$AG$41:$AG$42</c:f>
              <c:numCache>
                <c:formatCode>General</c:formatCode>
                <c:ptCount val="2"/>
                <c:pt idx="0">
                  <c:v>2872.0229022380563</c:v>
                </c:pt>
                <c:pt idx="1">
                  <c:v>-2872.0229022380554</c:v>
                </c:pt>
              </c:numCache>
            </c:numRef>
          </c:xVal>
          <c:yVal>
            <c:numRef>
              <c:f>SecRecS!$AD$41:$AD$42</c:f>
              <c:numCache>
                <c:formatCode>General</c:formatCode>
                <c:ptCount val="2"/>
                <c:pt idx="0">
                  <c:v>2.9184558060521226E-2</c:v>
                </c:pt>
                <c:pt idx="1">
                  <c:v>2.9184558060492805E-2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DD-4904-AC25-6A4B87FE2525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rgbClr val="FFFF00"/>
                </a:solidFill>
                <a:ln w="19050" cap="flat" cmpd="sng" algn="ctr">
                  <a:solidFill>
                    <a:srgbClr val="FF0000"/>
                  </a:solidFill>
                  <a:round/>
                </a:ln>
                <a:effectLst/>
              </c:spPr>
            </c:marker>
            <c:bubble3D val="0"/>
            <c:spPr>
              <a:ln w="1587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93-4243-B8A3-A0D2EE29ECB0}"/>
              </c:ext>
            </c:extLst>
          </c:dPt>
          <c:xVal>
            <c:numRef>
              <c:f>SecRecS!$L$4</c:f>
              <c:numCache>
                <c:formatCode>General</c:formatCode>
                <c:ptCount val="1"/>
                <c:pt idx="0">
                  <c:v>4015.6751328361543</c:v>
                </c:pt>
              </c:numCache>
            </c:numRef>
          </c:xVal>
          <c:yVal>
            <c:numRef>
              <c:f>SecRecS!$I$4</c:f>
              <c:numCache>
                <c:formatCode>General</c:formatCode>
                <c:ptCount val="1"/>
                <c:pt idx="0">
                  <c:v>-125.04219080811815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FDD-4904-AC25-6A4B87FE2525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rgbClr val="00B0F0"/>
                </a:solidFill>
                <a:ln w="19050" cap="flat" cmpd="sng" algn="ctr">
                  <a:solidFill>
                    <a:srgbClr val="FF0000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E29-4D64-A9FB-D57295D60B86}"/>
              </c:ext>
            </c:extLst>
          </c:dPt>
          <c:xVal>
            <c:numRef>
              <c:f>SecRecS!$L$9</c:f>
              <c:numCache>
                <c:formatCode>General</c:formatCode>
                <c:ptCount val="1"/>
                <c:pt idx="0">
                  <c:v>2840.9805595942762</c:v>
                </c:pt>
              </c:numCache>
            </c:numRef>
          </c:xVal>
          <c:yVal>
            <c:numRef>
              <c:f>SecRecS!$I$9</c:f>
              <c:numCache>
                <c:formatCode>General</c:formatCode>
                <c:ptCount val="1"/>
                <c:pt idx="0">
                  <c:v>-91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29-4D64-A9FB-D57295D60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SecRecS!$AM$3:$AM$39</c:f>
              <c:numCache>
                <c:formatCode>General</c:formatCode>
                <c:ptCount val="37"/>
                <c:pt idx="0">
                  <c:v>2683.7497064721456</c:v>
                </c:pt>
                <c:pt idx="1">
                  <c:v>2616.6643279891114</c:v>
                </c:pt>
                <c:pt idx="2">
                  <c:v>2488.4044101505465</c:v>
                </c:pt>
                <c:pt idx="3">
                  <c:v>2323.0008072896444</c:v>
                </c:pt>
                <c:pt idx="4">
                  <c:v>2165.503088251538</c:v>
                </c:pt>
                <c:pt idx="5">
                  <c:v>1903.7865770240858</c:v>
                </c:pt>
                <c:pt idx="6">
                  <c:v>1613.750977007435</c:v>
                </c:pt>
                <c:pt idx="7">
                  <c:v>1256.423138216189</c:v>
                </c:pt>
                <c:pt idx="8">
                  <c:v>692.3877062308045</c:v>
                </c:pt>
                <c:pt idx="9">
                  <c:v>2.9011330138339561E-13</c:v>
                </c:pt>
                <c:pt idx="10">
                  <c:v>-692.38770623080438</c:v>
                </c:pt>
                <c:pt idx="11">
                  <c:v>-1256.4231382161888</c:v>
                </c:pt>
                <c:pt idx="12">
                  <c:v>-1613.7509770074341</c:v>
                </c:pt>
                <c:pt idx="13">
                  <c:v>-1903.7865770240858</c:v>
                </c:pt>
                <c:pt idx="14">
                  <c:v>-2165.5030882515371</c:v>
                </c:pt>
                <c:pt idx="15">
                  <c:v>-2323.0008072896444</c:v>
                </c:pt>
                <c:pt idx="16">
                  <c:v>-2488.404410150546</c:v>
                </c:pt>
                <c:pt idx="17">
                  <c:v>-2616.6643279891123</c:v>
                </c:pt>
                <c:pt idx="18">
                  <c:v>-2683.7497064721456</c:v>
                </c:pt>
                <c:pt idx="19">
                  <c:v>-2616.6643279891155</c:v>
                </c:pt>
                <c:pt idx="20">
                  <c:v>-2488.4044101505465</c:v>
                </c:pt>
                <c:pt idx="21">
                  <c:v>-2323.0008072896439</c:v>
                </c:pt>
                <c:pt idx="22">
                  <c:v>-2165.503088251538</c:v>
                </c:pt>
                <c:pt idx="23">
                  <c:v>-1903.786577024086</c:v>
                </c:pt>
                <c:pt idx="24">
                  <c:v>-1613.7509770074355</c:v>
                </c:pt>
                <c:pt idx="25">
                  <c:v>-1256.4231382161881</c:v>
                </c:pt>
                <c:pt idx="26">
                  <c:v>-692.38770623080427</c:v>
                </c:pt>
                <c:pt idx="27">
                  <c:v>-8.2836342905342873E-13</c:v>
                </c:pt>
                <c:pt idx="28">
                  <c:v>692.38770623080291</c:v>
                </c:pt>
                <c:pt idx="29">
                  <c:v>1256.4231382161877</c:v>
                </c:pt>
                <c:pt idx="30">
                  <c:v>1613.750977007435</c:v>
                </c:pt>
                <c:pt idx="31">
                  <c:v>1903.7865770240862</c:v>
                </c:pt>
                <c:pt idx="32">
                  <c:v>2165.5030882515366</c:v>
                </c:pt>
                <c:pt idx="33">
                  <c:v>2323.0008072896417</c:v>
                </c:pt>
                <c:pt idx="34">
                  <c:v>2488.4044101505456</c:v>
                </c:pt>
                <c:pt idx="35">
                  <c:v>2616.6643279891114</c:v>
                </c:pt>
                <c:pt idx="36">
                  <c:v>2683.7497064721456</c:v>
                </c:pt>
              </c:numCache>
            </c:numRef>
          </c:xVal>
          <c:yVal>
            <c:numRef>
              <c:f>SecRecS!$AL$3:$AL$39</c:f>
              <c:numCache>
                <c:formatCode>General</c:formatCode>
                <c:ptCount val="37"/>
                <c:pt idx="0">
                  <c:v>5.6843418860808015E-14</c:v>
                </c:pt>
                <c:pt idx="1">
                  <c:v>692.38770623080427</c:v>
                </c:pt>
                <c:pt idx="2">
                  <c:v>1256.4231382161888</c:v>
                </c:pt>
                <c:pt idx="3">
                  <c:v>1613.7509770074353</c:v>
                </c:pt>
                <c:pt idx="4">
                  <c:v>1903.7865770240862</c:v>
                </c:pt>
                <c:pt idx="5">
                  <c:v>2165.5030882515371</c:v>
                </c:pt>
                <c:pt idx="6">
                  <c:v>2323.0008072896435</c:v>
                </c:pt>
                <c:pt idx="7">
                  <c:v>2488.404410150546</c:v>
                </c:pt>
                <c:pt idx="8">
                  <c:v>2616.6643279891114</c:v>
                </c:pt>
                <c:pt idx="9">
                  <c:v>2683.7497064721451</c:v>
                </c:pt>
                <c:pt idx="10">
                  <c:v>2616.6643279891127</c:v>
                </c:pt>
                <c:pt idx="11">
                  <c:v>2488.4044101505465</c:v>
                </c:pt>
                <c:pt idx="12">
                  <c:v>2323.000807289643</c:v>
                </c:pt>
                <c:pt idx="13">
                  <c:v>2165.5030882515371</c:v>
                </c:pt>
                <c:pt idx="14">
                  <c:v>1903.786577024086</c:v>
                </c:pt>
                <c:pt idx="15">
                  <c:v>1613.7509770074353</c:v>
                </c:pt>
                <c:pt idx="16">
                  <c:v>1256.4231382161893</c:v>
                </c:pt>
                <c:pt idx="17">
                  <c:v>692.38770623080427</c:v>
                </c:pt>
                <c:pt idx="18">
                  <c:v>5.6965439598467933E-13</c:v>
                </c:pt>
                <c:pt idx="19">
                  <c:v>-692.38770623080302</c:v>
                </c:pt>
                <c:pt idx="20">
                  <c:v>-1256.4231382161888</c:v>
                </c:pt>
                <c:pt idx="21">
                  <c:v>-1613.7509770074344</c:v>
                </c:pt>
                <c:pt idx="22">
                  <c:v>-1903.7865770240862</c:v>
                </c:pt>
                <c:pt idx="23">
                  <c:v>-2165.5030882515371</c:v>
                </c:pt>
                <c:pt idx="24">
                  <c:v>-2323.0008072896421</c:v>
                </c:pt>
                <c:pt idx="25">
                  <c:v>-2488.404410150546</c:v>
                </c:pt>
                <c:pt idx="26">
                  <c:v>-2616.6643279891114</c:v>
                </c:pt>
                <c:pt idx="27">
                  <c:v>-2683.7497064721447</c:v>
                </c:pt>
                <c:pt idx="28">
                  <c:v>-2616.664327989115</c:v>
                </c:pt>
                <c:pt idx="29">
                  <c:v>-2488.4044101505478</c:v>
                </c:pt>
                <c:pt idx="30">
                  <c:v>-2323.0008072896435</c:v>
                </c:pt>
                <c:pt idx="31">
                  <c:v>-2165.503088251538</c:v>
                </c:pt>
                <c:pt idx="32">
                  <c:v>-1903.786577024086</c:v>
                </c:pt>
                <c:pt idx="33">
                  <c:v>-1613.7509770074353</c:v>
                </c:pt>
                <c:pt idx="34">
                  <c:v>-1256.4231382161881</c:v>
                </c:pt>
                <c:pt idx="35">
                  <c:v>-692.38770623080438</c:v>
                </c:pt>
                <c:pt idx="36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5-4DE6-B0B5-B1E4F60D52B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SecRecS!$AQ$3:$AQ$30</c:f>
              <c:numCache>
                <c:formatCode>General</c:formatCode>
                <c:ptCount val="28"/>
                <c:pt idx="0">
                  <c:v>-4.6533761187563844E-14</c:v>
                </c:pt>
                <c:pt idx="1">
                  <c:v>266.93841740914087</c:v>
                </c:pt>
                <c:pt idx="2">
                  <c:v>1121.9361895355514</c:v>
                </c:pt>
                <c:pt idx="3">
                  <c:v>1957.7490946674054</c:v>
                </c:pt>
                <c:pt idx="4">
                  <c:v>2934.8985752143831</c:v>
                </c:pt>
                <c:pt idx="5">
                  <c:v>3100.066718741738</c:v>
                </c:pt>
                <c:pt idx="6">
                  <c:v>3166.5800587813551</c:v>
                </c:pt>
                <c:pt idx="7">
                  <c:v>3138.1730396200278</c:v>
                </c:pt>
                <c:pt idx="8">
                  <c:v>3140.369788182752</c:v>
                </c:pt>
                <c:pt idx="9">
                  <c:v>2900.1650611281138</c:v>
                </c:pt>
                <c:pt idx="10">
                  <c:v>2342.2815983435439</c:v>
                </c:pt>
                <c:pt idx="11">
                  <c:v>1507.5817801981696</c:v>
                </c:pt>
                <c:pt idx="12">
                  <c:v>906.31529797666985</c:v>
                </c:pt>
                <c:pt idx="13">
                  <c:v>1.4105761483358394E-13</c:v>
                </c:pt>
                <c:pt idx="14">
                  <c:v>-5.7648740206550226E-14</c:v>
                </c:pt>
                <c:pt idx="15">
                  <c:v>-266.93841740914092</c:v>
                </c:pt>
                <c:pt idx="16">
                  <c:v>-1121.9361895355514</c:v>
                </c:pt>
                <c:pt idx="17">
                  <c:v>-1957.7490946674059</c:v>
                </c:pt>
                <c:pt idx="18">
                  <c:v>-2934.8985752143831</c:v>
                </c:pt>
                <c:pt idx="19">
                  <c:v>-3100.0667187417384</c:v>
                </c:pt>
                <c:pt idx="20">
                  <c:v>-3166.5800587813555</c:v>
                </c:pt>
                <c:pt idx="21">
                  <c:v>-3138.1730396200282</c:v>
                </c:pt>
                <c:pt idx="22">
                  <c:v>-3140.3697881827525</c:v>
                </c:pt>
                <c:pt idx="23">
                  <c:v>-2900.1650611281134</c:v>
                </c:pt>
                <c:pt idx="24">
                  <c:v>-2342.2815983435439</c:v>
                </c:pt>
                <c:pt idx="25">
                  <c:v>-1507.5817801981702</c:v>
                </c:pt>
                <c:pt idx="26">
                  <c:v>-906.31529797666974</c:v>
                </c:pt>
                <c:pt idx="27">
                  <c:v>-1.554681034256665E-13</c:v>
                </c:pt>
              </c:numCache>
            </c:numRef>
          </c:xVal>
          <c:yVal>
            <c:numRef>
              <c:f>SecRecS!$AP$3:$AP$30</c:f>
              <c:numCache>
                <c:formatCode>General</c:formatCode>
                <c:ptCount val="28"/>
                <c:pt idx="0">
                  <c:v>3.5605220533801224E-14</c:v>
                </c:pt>
                <c:pt idx="1">
                  <c:v>248.85899018291516</c:v>
                </c:pt>
                <c:pt idx="2">
                  <c:v>1032.4201933605398</c:v>
                </c:pt>
                <c:pt idx="3">
                  <c:v>1690.7699537302215</c:v>
                </c:pt>
                <c:pt idx="4">
                  <c:v>2402.9655195571959</c:v>
                </c:pt>
                <c:pt idx="5">
                  <c:v>2486.8197183078341</c:v>
                </c:pt>
                <c:pt idx="6">
                  <c:v>2404.0353153015517</c:v>
                </c:pt>
                <c:pt idx="7">
                  <c:v>2264.3156654104509</c:v>
                </c:pt>
                <c:pt idx="8">
                  <c:v>2200.859236415979</c:v>
                </c:pt>
                <c:pt idx="9">
                  <c:v>2119.5630868984217</c:v>
                </c:pt>
                <c:pt idx="10">
                  <c:v>1885.3032272426376</c:v>
                </c:pt>
                <c:pt idx="11">
                  <c:v>1295.3766164789004</c:v>
                </c:pt>
                <c:pt idx="12">
                  <c:v>784.77962795016776</c:v>
                </c:pt>
                <c:pt idx="13">
                  <c:v>-1.3667773340334264E-13</c:v>
                </c:pt>
                <c:pt idx="14">
                  <c:v>2.6750524991656887E-14</c:v>
                </c:pt>
                <c:pt idx="15">
                  <c:v>-248.85899018291499</c:v>
                </c:pt>
                <c:pt idx="16">
                  <c:v>-1032.4201933605393</c:v>
                </c:pt>
                <c:pt idx="17">
                  <c:v>-1690.7699537302205</c:v>
                </c:pt>
                <c:pt idx="18">
                  <c:v>-2402.9655195571941</c:v>
                </c:pt>
                <c:pt idx="19">
                  <c:v>-2486.8197183078319</c:v>
                </c:pt>
                <c:pt idx="20">
                  <c:v>-2404.035315301549</c:v>
                </c:pt>
                <c:pt idx="21">
                  <c:v>-2264.3156654104478</c:v>
                </c:pt>
                <c:pt idx="22">
                  <c:v>-2200.8592364159763</c:v>
                </c:pt>
                <c:pt idx="23">
                  <c:v>-2119.5630868984185</c:v>
                </c:pt>
                <c:pt idx="24">
                  <c:v>-1885.3032272426356</c:v>
                </c:pt>
                <c:pt idx="25">
                  <c:v>-1295.3766164788999</c:v>
                </c:pt>
                <c:pt idx="26">
                  <c:v>-784.77962795016776</c:v>
                </c:pt>
                <c:pt idx="27">
                  <c:v>4.8858459444891259E-14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5-4DE6-B0B5-B1E4F60D52B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SecRecS!$S$3:$S$42</c:f>
              <c:numCache>
                <c:formatCode>General</c:formatCode>
                <c:ptCount val="40"/>
              </c:numCache>
            </c:numRef>
          </c:xVal>
          <c:yVal>
            <c:numRef>
              <c:f>SecRecS!$R$3:$R$42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5-4DE6-B0B5-B1E4F60D52B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SecRecS!$AG$3:$AG$39</c:f>
              <c:numCache>
                <c:formatCode>General</c:formatCode>
                <c:ptCount val="37"/>
                <c:pt idx="0">
                  <c:v>2683.7497064721456</c:v>
                </c:pt>
                <c:pt idx="1">
                  <c:v>2616.6643279891114</c:v>
                </c:pt>
                <c:pt idx="2">
                  <c:v>2488.4044101505465</c:v>
                </c:pt>
                <c:pt idx="3">
                  <c:v>2323.0008072896444</c:v>
                </c:pt>
                <c:pt idx="4">
                  <c:v>2165.503088251538</c:v>
                </c:pt>
                <c:pt idx="5">
                  <c:v>1903.7865770240858</c:v>
                </c:pt>
                <c:pt idx="6">
                  <c:v>1613.750977007435</c:v>
                </c:pt>
                <c:pt idx="7">
                  <c:v>1256.423138216189</c:v>
                </c:pt>
                <c:pt idx="8">
                  <c:v>692.3877062308045</c:v>
                </c:pt>
                <c:pt idx="9">
                  <c:v>2.9011330138339561E-13</c:v>
                </c:pt>
                <c:pt idx="10">
                  <c:v>-692.38770623080438</c:v>
                </c:pt>
                <c:pt idx="11">
                  <c:v>-1256.4231382161888</c:v>
                </c:pt>
                <c:pt idx="12">
                  <c:v>-1613.7509770074341</c:v>
                </c:pt>
                <c:pt idx="13">
                  <c:v>-1903.7865770240858</c:v>
                </c:pt>
                <c:pt idx="14">
                  <c:v>-2165.5030882515371</c:v>
                </c:pt>
                <c:pt idx="15">
                  <c:v>-2323.0008072896444</c:v>
                </c:pt>
                <c:pt idx="16">
                  <c:v>-2488.404410150546</c:v>
                </c:pt>
                <c:pt idx="17">
                  <c:v>-2616.6643279891123</c:v>
                </c:pt>
                <c:pt idx="18">
                  <c:v>-2683.7497064721456</c:v>
                </c:pt>
                <c:pt idx="19">
                  <c:v>-2616.6643279891155</c:v>
                </c:pt>
                <c:pt idx="20">
                  <c:v>-2488.4044101505465</c:v>
                </c:pt>
                <c:pt idx="21">
                  <c:v>-2323.0008072896439</c:v>
                </c:pt>
                <c:pt idx="22">
                  <c:v>-2165.503088251538</c:v>
                </c:pt>
                <c:pt idx="23">
                  <c:v>-1903.786577024086</c:v>
                </c:pt>
                <c:pt idx="24">
                  <c:v>-1613.7509770074355</c:v>
                </c:pt>
                <c:pt idx="25">
                  <c:v>-1256.4231382161881</c:v>
                </c:pt>
                <c:pt idx="26">
                  <c:v>-692.38770623080427</c:v>
                </c:pt>
                <c:pt idx="27">
                  <c:v>-8.2836342905342873E-13</c:v>
                </c:pt>
                <c:pt idx="28">
                  <c:v>692.38770623080291</c:v>
                </c:pt>
                <c:pt idx="29">
                  <c:v>1256.4231382161877</c:v>
                </c:pt>
                <c:pt idx="30">
                  <c:v>1613.750977007435</c:v>
                </c:pt>
                <c:pt idx="31">
                  <c:v>1903.7865770240862</c:v>
                </c:pt>
                <c:pt idx="32">
                  <c:v>2165.5030882515366</c:v>
                </c:pt>
                <c:pt idx="33">
                  <c:v>2323.0008072896417</c:v>
                </c:pt>
                <c:pt idx="34">
                  <c:v>2488.4044101505456</c:v>
                </c:pt>
                <c:pt idx="35">
                  <c:v>2616.6643279891114</c:v>
                </c:pt>
                <c:pt idx="36">
                  <c:v>2683.7497064721456</c:v>
                </c:pt>
              </c:numCache>
            </c:numRef>
          </c:xVal>
          <c:yVal>
            <c:numRef>
              <c:f>SecRecS!$AF$3:$AF$39</c:f>
              <c:numCache>
                <c:formatCode>General</c:formatCode>
                <c:ptCount val="37"/>
                <c:pt idx="0">
                  <c:v>5.6843418860808015E-14</c:v>
                </c:pt>
                <c:pt idx="1">
                  <c:v>692.38770623080427</c:v>
                </c:pt>
                <c:pt idx="2">
                  <c:v>1256.4231382161888</c:v>
                </c:pt>
                <c:pt idx="3">
                  <c:v>1613.7509770074353</c:v>
                </c:pt>
                <c:pt idx="4">
                  <c:v>1903.7865770240862</c:v>
                </c:pt>
                <c:pt idx="5">
                  <c:v>2165.5030882515371</c:v>
                </c:pt>
                <c:pt idx="6">
                  <c:v>2323.0008072896435</c:v>
                </c:pt>
                <c:pt idx="7">
                  <c:v>2488.404410150546</c:v>
                </c:pt>
                <c:pt idx="8">
                  <c:v>2616.6643279891114</c:v>
                </c:pt>
                <c:pt idx="9">
                  <c:v>2683.7497064721451</c:v>
                </c:pt>
                <c:pt idx="10">
                  <c:v>2616.6643279891127</c:v>
                </c:pt>
                <c:pt idx="11">
                  <c:v>2488.4044101505465</c:v>
                </c:pt>
                <c:pt idx="12">
                  <c:v>2323.000807289643</c:v>
                </c:pt>
                <c:pt idx="13">
                  <c:v>2165.5030882515371</c:v>
                </c:pt>
                <c:pt idx="14">
                  <c:v>1903.786577024086</c:v>
                </c:pt>
                <c:pt idx="15">
                  <c:v>1613.7509770074353</c:v>
                </c:pt>
                <c:pt idx="16">
                  <c:v>1256.4231382161893</c:v>
                </c:pt>
                <c:pt idx="17">
                  <c:v>692.38770623080427</c:v>
                </c:pt>
                <c:pt idx="18">
                  <c:v>5.6965439598467933E-13</c:v>
                </c:pt>
                <c:pt idx="19">
                  <c:v>-692.38770623080302</c:v>
                </c:pt>
                <c:pt idx="20">
                  <c:v>-1256.4231382161888</c:v>
                </c:pt>
                <c:pt idx="21">
                  <c:v>-1613.7509770074344</c:v>
                </c:pt>
                <c:pt idx="22">
                  <c:v>-1903.7865770240862</c:v>
                </c:pt>
                <c:pt idx="23">
                  <c:v>-2165.5030882515371</c:v>
                </c:pt>
                <c:pt idx="24">
                  <c:v>-2323.0008072896421</c:v>
                </c:pt>
                <c:pt idx="25">
                  <c:v>-2488.404410150546</c:v>
                </c:pt>
                <c:pt idx="26">
                  <c:v>-2616.6643279891114</c:v>
                </c:pt>
                <c:pt idx="27">
                  <c:v>-2683.7497064721447</c:v>
                </c:pt>
                <c:pt idx="28">
                  <c:v>-2616.664327989115</c:v>
                </c:pt>
                <c:pt idx="29">
                  <c:v>-2488.4044101505478</c:v>
                </c:pt>
                <c:pt idx="30">
                  <c:v>-2323.0008072896435</c:v>
                </c:pt>
                <c:pt idx="31">
                  <c:v>-2165.503088251538</c:v>
                </c:pt>
                <c:pt idx="32">
                  <c:v>-1903.786577024086</c:v>
                </c:pt>
                <c:pt idx="33">
                  <c:v>-1613.7509770074353</c:v>
                </c:pt>
                <c:pt idx="34">
                  <c:v>-1256.4231382161881</c:v>
                </c:pt>
                <c:pt idx="35">
                  <c:v>-692.38770623080438</c:v>
                </c:pt>
                <c:pt idx="36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35-4DE6-B0B5-B1E4F60D52BF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SecRecS!$K$4</c:f>
              <c:numCache>
                <c:formatCode>General</c:formatCode>
                <c:ptCount val="1"/>
                <c:pt idx="0">
                  <c:v>3161.4189140504259</c:v>
                </c:pt>
              </c:numCache>
            </c:numRef>
          </c:xVal>
          <c:yVal>
            <c:numRef>
              <c:f>SecRecS!$J$4</c:f>
              <c:numCache>
                <c:formatCode>General</c:formatCode>
                <c:ptCount val="1"/>
                <c:pt idx="0">
                  <c:v>2476.3212797011338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35-4DE6-B0B5-B1E4F60D5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SecT1!$C$45:$C$53</c:f>
              <c:numCache>
                <c:formatCode>General</c:formatCode>
                <c:ptCount val="9"/>
                <c:pt idx="0">
                  <c:v>-39.19800326714126</c:v>
                </c:pt>
                <c:pt idx="1">
                  <c:v>30.80199673285874</c:v>
                </c:pt>
                <c:pt idx="2">
                  <c:v>30.80199673285874</c:v>
                </c:pt>
                <c:pt idx="3">
                  <c:v>15.80199673285874</c:v>
                </c:pt>
                <c:pt idx="4">
                  <c:v>15.80199673285874</c:v>
                </c:pt>
                <c:pt idx="5">
                  <c:v>-9.1980032671412602</c:v>
                </c:pt>
                <c:pt idx="6">
                  <c:v>-9.1980032671412602</c:v>
                </c:pt>
                <c:pt idx="7">
                  <c:v>-39.19800326714126</c:v>
                </c:pt>
                <c:pt idx="8">
                  <c:v>-39.19800326714126</c:v>
                </c:pt>
              </c:numCache>
            </c:numRef>
          </c:xVal>
          <c:yVal>
            <c:numRef>
              <c:f>SecT1!$D$45:$D$53</c:f>
              <c:numCache>
                <c:formatCode>General</c:formatCode>
                <c:ptCount val="9"/>
                <c:pt idx="0">
                  <c:v>-20.927944869268792</c:v>
                </c:pt>
                <c:pt idx="1">
                  <c:v>-20.927944869268792</c:v>
                </c:pt>
                <c:pt idx="2">
                  <c:v>9.0720551307312078</c:v>
                </c:pt>
                <c:pt idx="3">
                  <c:v>9.0720551307312078</c:v>
                </c:pt>
                <c:pt idx="4">
                  <c:v>34.072055130731208</c:v>
                </c:pt>
                <c:pt idx="5">
                  <c:v>34.072055130731208</c:v>
                </c:pt>
                <c:pt idx="6">
                  <c:v>-0.92794486926879216</c:v>
                </c:pt>
                <c:pt idx="7">
                  <c:v>-0.92794486926879216</c:v>
                </c:pt>
                <c:pt idx="8">
                  <c:v>-20.927944869268792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9B-4E86-AB94-31CB97B517F5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SecT1!$J$45:$J$55</c:f>
              <c:numCache>
                <c:formatCode>General</c:formatCode>
                <c:ptCount val="11"/>
                <c:pt idx="0">
                  <c:v>-39.198003267141267</c:v>
                </c:pt>
                <c:pt idx="1">
                  <c:v>-13.934058916162314</c:v>
                </c:pt>
                <c:pt idx="2">
                  <c:v>-3.2411483368944696</c:v>
                </c:pt>
                <c:pt idx="3">
                  <c:v>-9.1980032671412602</c:v>
                </c:pt>
                <c:pt idx="4">
                  <c:v>-9.1980032671412602</c:v>
                </c:pt>
                <c:pt idx="5">
                  <c:v>-10.045727796428553</c:v>
                </c:pt>
                <c:pt idx="6">
                  <c:v>-39.19800326714126</c:v>
                </c:pt>
                <c:pt idx="7">
                  <c:v>-39.198003267141267</c:v>
                </c:pt>
                <c:pt idx="8">
                  <c:v>-39.198003267141267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SecT1!$K$45:$K$55</c:f>
              <c:numCache>
                <c:formatCode>General</c:formatCode>
                <c:ptCount val="11"/>
                <c:pt idx="0">
                  <c:v>-20.927944869268796</c:v>
                </c:pt>
                <c:pt idx="1">
                  <c:v>-20.927944869268792</c:v>
                </c:pt>
                <c:pt idx="2">
                  <c:v>34.072055130731208</c:v>
                </c:pt>
                <c:pt idx="3">
                  <c:v>34.072055130731208</c:v>
                </c:pt>
                <c:pt idx="4">
                  <c:v>3.4324066706758654</c:v>
                </c:pt>
                <c:pt idx="5">
                  <c:v>-0.92794486926879216</c:v>
                </c:pt>
                <c:pt idx="6">
                  <c:v>-0.92794486926879394</c:v>
                </c:pt>
                <c:pt idx="7">
                  <c:v>-20.927944869268796</c:v>
                </c:pt>
                <c:pt idx="8">
                  <c:v>-20.927944869268796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9B-4E86-AB94-31CB97B517F5}"/>
            </c:ext>
          </c:extLst>
        </c:ser>
        <c:ser>
          <c:idx val="3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SecT1!$Z$45:$Z$72</c:f>
              <c:numCache>
                <c:formatCode>General</c:formatCode>
                <c:ptCount val="28"/>
                <c:pt idx="0">
                  <c:v>-34.19800326714126</c:v>
                </c:pt>
                <c:pt idx="1">
                  <c:v>-4.1980032671412602</c:v>
                </c:pt>
                <c:pt idx="2">
                  <c:v>10.80199673285874</c:v>
                </c:pt>
                <c:pt idx="3">
                  <c:v>25.80199673285874</c:v>
                </c:pt>
                <c:pt idx="4">
                  <c:v>25.80199673285874</c:v>
                </c:pt>
                <c:pt idx="5">
                  <c:v>10.80199673285874</c:v>
                </c:pt>
                <c:pt idx="6">
                  <c:v>10.80199673285874</c:v>
                </c:pt>
                <c:pt idx="7">
                  <c:v>-4.1980032671412602</c:v>
                </c:pt>
                <c:pt idx="8">
                  <c:v>-4.1980032671412602</c:v>
                </c:pt>
                <c:pt idx="9">
                  <c:v>-34.19800326714126</c:v>
                </c:pt>
                <c:pt idx="10">
                  <c:v>-19.19800326714126</c:v>
                </c:pt>
                <c:pt idx="11">
                  <c:v>25.80199673285874</c:v>
                </c:pt>
                <c:pt idx="12">
                  <c:v>10.80199673285874</c:v>
                </c:pt>
                <c:pt idx="13">
                  <c:v>-4.1980032671412602</c:v>
                </c:pt>
                <c:pt idx="14">
                  <c:v>-4.1980032671412602</c:v>
                </c:pt>
                <c:pt idx="15">
                  <c:v>-19.19800326714126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xVal>
          <c:yVal>
            <c:numRef>
              <c:f>SecT1!$AA$45:$AA$72</c:f>
              <c:numCache>
                <c:formatCode>General</c:formatCode>
                <c:ptCount val="28"/>
                <c:pt idx="0">
                  <c:v>-15.927944869268792</c:v>
                </c:pt>
                <c:pt idx="1">
                  <c:v>-15.927944869268792</c:v>
                </c:pt>
                <c:pt idx="2">
                  <c:v>-15.927944869268792</c:v>
                </c:pt>
                <c:pt idx="3">
                  <c:v>-15.927944869268792</c:v>
                </c:pt>
                <c:pt idx="4">
                  <c:v>4.0720551307312078</c:v>
                </c:pt>
                <c:pt idx="5">
                  <c:v>4.0720551307312078</c:v>
                </c:pt>
                <c:pt idx="6">
                  <c:v>29.072055130731208</c:v>
                </c:pt>
                <c:pt idx="7">
                  <c:v>29.072055130731208</c:v>
                </c:pt>
                <c:pt idx="8">
                  <c:v>-5.9279448692687922</c:v>
                </c:pt>
                <c:pt idx="9">
                  <c:v>-5.9279448692687922</c:v>
                </c:pt>
                <c:pt idx="10">
                  <c:v>-15.927944869268792</c:v>
                </c:pt>
                <c:pt idx="11">
                  <c:v>-5.9279448692687922</c:v>
                </c:pt>
                <c:pt idx="12">
                  <c:v>16.572055130731208</c:v>
                </c:pt>
                <c:pt idx="13">
                  <c:v>5.7387217973978721</c:v>
                </c:pt>
                <c:pt idx="14">
                  <c:v>17.405388464064536</c:v>
                </c:pt>
                <c:pt idx="15">
                  <c:v>-5.9279448692687922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9B-4E86-AB94-31CB97B51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  <c:majorUnit val="10"/>
        <c:minorUnit val="5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SecT1!$AM$41:$AM$42</c:f>
              <c:numCache>
                <c:formatCode>General</c:formatCode>
                <c:ptCount val="2"/>
                <c:pt idx="0">
                  <c:v>3325.3535703818688</c:v>
                </c:pt>
                <c:pt idx="1">
                  <c:v>-3891.3476788690214</c:v>
                </c:pt>
              </c:numCache>
            </c:numRef>
          </c:xVal>
          <c:yVal>
            <c:numRef>
              <c:f>SecT1!$AJ$41:$AJ$42</c:f>
              <c:numCache>
                <c:formatCode>General</c:formatCode>
                <c:ptCount val="2"/>
                <c:pt idx="0">
                  <c:v>-112.78224928216027</c:v>
                </c:pt>
                <c:pt idx="1">
                  <c:v>-112.77466324660115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F2-4455-A7EF-34972DB9F40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SecT1!$AR$3:$AR$30</c:f>
              <c:numCache>
                <c:formatCode>General</c:formatCode>
                <c:ptCount val="28"/>
                <c:pt idx="0">
                  <c:v>-89.569935985362392</c:v>
                </c:pt>
                <c:pt idx="1">
                  <c:v>545.18983522951487</c:v>
                </c:pt>
                <c:pt idx="2">
                  <c:v>2018.4020950905249</c:v>
                </c:pt>
                <c:pt idx="3">
                  <c:v>2894.4339543142296</c:v>
                </c:pt>
                <c:pt idx="4">
                  <c:v>3736.869412858448</c:v>
                </c:pt>
                <c:pt idx="5">
                  <c:v>3614.8476163425221</c:v>
                </c:pt>
                <c:pt idx="6">
                  <c:v>3470.3744077331116</c:v>
                </c:pt>
                <c:pt idx="7">
                  <c:v>3324.1873515030402</c:v>
                </c:pt>
                <c:pt idx="8">
                  <c:v>3210.0503801166406</c:v>
                </c:pt>
                <c:pt idx="9">
                  <c:v>2981.7257638942383</c:v>
                </c:pt>
                <c:pt idx="10">
                  <c:v>2537.2517979907097</c:v>
                </c:pt>
                <c:pt idx="11">
                  <c:v>1910.107333574703</c:v>
                </c:pt>
                <c:pt idx="12">
                  <c:v>1322.5027131616214</c:v>
                </c:pt>
                <c:pt idx="13">
                  <c:v>-2.8421709430404007E-13</c:v>
                </c:pt>
                <c:pt idx="14">
                  <c:v>-89.569935985362591</c:v>
                </c:pt>
                <c:pt idx="15">
                  <c:v>-807.60592896083779</c:v>
                </c:pt>
                <c:pt idx="16">
                  <c:v>-2454.1876517821438</c:v>
                </c:pt>
                <c:pt idx="17">
                  <c:v>-3441.6859303697124</c:v>
                </c:pt>
                <c:pt idx="18">
                  <c:v>-4343.5031509590572</c:v>
                </c:pt>
                <c:pt idx="19">
                  <c:v>-4124.1979804665725</c:v>
                </c:pt>
                <c:pt idx="20">
                  <c:v>-3684.623616631799</c:v>
                </c:pt>
                <c:pt idx="21">
                  <c:v>-3417.4025980649735</c:v>
                </c:pt>
                <c:pt idx="22">
                  <c:v>-3182.8089579454881</c:v>
                </c:pt>
                <c:pt idx="23">
                  <c:v>-2810.6812351628478</c:v>
                </c:pt>
                <c:pt idx="24">
                  <c:v>-2289.4231039958345</c:v>
                </c:pt>
                <c:pt idx="25">
                  <c:v>-1743.6324393288348</c:v>
                </c:pt>
                <c:pt idx="26">
                  <c:v>-1239.6966463966569</c:v>
                </c:pt>
                <c:pt idx="27">
                  <c:v>-3.1974423109204518E-13</c:v>
                </c:pt>
              </c:numCache>
            </c:numRef>
          </c:xVal>
          <c:yVal>
            <c:numRef>
              <c:f>SecT1!$AO$3:$AO$30</c:f>
              <c:numCache>
                <c:formatCode>General</c:formatCode>
                <c:ptCount val="28"/>
                <c:pt idx="0">
                  <c:v>190.00351506046883</c:v>
                </c:pt>
                <c:pt idx="1">
                  <c:v>167.75839633263072</c:v>
                </c:pt>
                <c:pt idx="2">
                  <c:v>113.21885574742453</c:v>
                </c:pt>
                <c:pt idx="3">
                  <c:v>71.093035439316481</c:v>
                </c:pt>
                <c:pt idx="4">
                  <c:v>21.223159158586881</c:v>
                </c:pt>
                <c:pt idx="5">
                  <c:v>-20.694264032389995</c:v>
                </c:pt>
                <c:pt idx="6">
                  <c:v>-83.631788662688635</c:v>
                </c:pt>
                <c:pt idx="7">
                  <c:v>-112.94396842399729</c:v>
                </c:pt>
                <c:pt idx="8">
                  <c:v>-155.80196109142676</c:v>
                </c:pt>
                <c:pt idx="9">
                  <c:v>-205.52877970055815</c:v>
                </c:pt>
                <c:pt idx="10">
                  <c:v>-262.43945739214507</c:v>
                </c:pt>
                <c:pt idx="11">
                  <c:v>-313.30412543457163</c:v>
                </c:pt>
                <c:pt idx="12">
                  <c:v>-330.20265973797694</c:v>
                </c:pt>
                <c:pt idx="13">
                  <c:v>-330.20265973797694</c:v>
                </c:pt>
                <c:pt idx="14">
                  <c:v>190.00351506046883</c:v>
                </c:pt>
                <c:pt idx="15">
                  <c:v>161.04328133786902</c:v>
                </c:pt>
                <c:pt idx="16">
                  <c:v>90.428542367269529</c:v>
                </c:pt>
                <c:pt idx="17">
                  <c:v>37.819404981125302</c:v>
                </c:pt>
                <c:pt idx="18">
                  <c:v>-24.928307994989737</c:v>
                </c:pt>
                <c:pt idx="19">
                  <c:v>-75.767182206504785</c:v>
                </c:pt>
                <c:pt idx="20">
                  <c:v>-137.45057944780424</c:v>
                </c:pt>
                <c:pt idx="21">
                  <c:v>-162.75817151673704</c:v>
                </c:pt>
                <c:pt idx="22">
                  <c:v>-203.69534655726335</c:v>
                </c:pt>
                <c:pt idx="23">
                  <c:v>-250.77234098698665</c:v>
                </c:pt>
                <c:pt idx="24">
                  <c:v>-297.64909740745213</c:v>
                </c:pt>
                <c:pt idx="25">
                  <c:v>-330.20265973797694</c:v>
                </c:pt>
                <c:pt idx="26">
                  <c:v>-330.20265973797694</c:v>
                </c:pt>
                <c:pt idx="27">
                  <c:v>-330.20265973797694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F2-4455-A7EF-34972DB9F40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SecT1!$U$3:$U$42</c:f>
              <c:numCache>
                <c:formatCode>General</c:formatCode>
                <c:ptCount val="40"/>
                <c:pt idx="0">
                  <c:v>2007.0518922543552</c:v>
                </c:pt>
                <c:pt idx="1">
                  <c:v>-1147.3117113892336</c:v>
                </c:pt>
                <c:pt idx="2">
                  <c:v>1743.4212946080318</c:v>
                </c:pt>
                <c:pt idx="3">
                  <c:v>1649.5151879747239</c:v>
                </c:pt>
                <c:pt idx="4">
                  <c:v>1488.7505812993325</c:v>
                </c:pt>
                <c:pt idx="5">
                  <c:v>1481.6845488242468</c:v>
                </c:pt>
                <c:pt idx="6">
                  <c:v>1480.3943437087494</c:v>
                </c:pt>
                <c:pt idx="7">
                  <c:v>1479.4551522106403</c:v>
                </c:pt>
                <c:pt idx="8">
                  <c:v>1478.0149371832028</c:v>
                </c:pt>
                <c:pt idx="9">
                  <c:v>1475.4292313750625</c:v>
                </c:pt>
                <c:pt idx="10">
                  <c:v>1476.4449415799593</c:v>
                </c:pt>
                <c:pt idx="11">
                  <c:v>1475.5058699085739</c:v>
                </c:pt>
                <c:pt idx="12">
                  <c:v>1473.4121619522064</c:v>
                </c:pt>
                <c:pt idx="13">
                  <c:v>1472.2390190396718</c:v>
                </c:pt>
                <c:pt idx="14">
                  <c:v>-817.38013188008938</c:v>
                </c:pt>
                <c:pt idx="15">
                  <c:v>1470.5407579388916</c:v>
                </c:pt>
                <c:pt idx="16">
                  <c:v>1468.2176430133438</c:v>
                </c:pt>
                <c:pt idx="17">
                  <c:v>1469.7425503111624</c:v>
                </c:pt>
                <c:pt idx="18">
                  <c:v>1467.4194352036122</c:v>
                </c:pt>
                <c:pt idx="19">
                  <c:v>1465.7210542761086</c:v>
                </c:pt>
                <c:pt idx="20">
                  <c:v>1464.5480311902975</c:v>
                </c:pt>
                <c:pt idx="21">
                  <c:v>1462.4543231429288</c:v>
                </c:pt>
                <c:pt idx="22">
                  <c:v>1461.5152518355483</c:v>
                </c:pt>
                <c:pt idx="23">
                  <c:v>1462.5309615854392</c:v>
                </c:pt>
                <c:pt idx="24">
                  <c:v>1459.9452560503023</c:v>
                </c:pt>
                <c:pt idx="25">
                  <c:v>1458.5050408408622</c:v>
                </c:pt>
                <c:pt idx="26">
                  <c:v>1457.5658496157571</c:v>
                </c:pt>
                <c:pt idx="27">
                  <c:v>1456.275644227256</c:v>
                </c:pt>
                <c:pt idx="28">
                  <c:v>1449.2094923804527</c:v>
                </c:pt>
                <c:pt idx="29">
                  <c:v>1288.4450053497824</c:v>
                </c:pt>
                <c:pt idx="30">
                  <c:v>1296.7553425199112</c:v>
                </c:pt>
                <c:pt idx="31">
                  <c:v>930.90829743010431</c:v>
                </c:pt>
                <c:pt idx="32">
                  <c:v>1180.1744828192527</c:v>
                </c:pt>
                <c:pt idx="33">
                  <c:v>-217.35000607231032</c:v>
                </c:pt>
                <c:pt idx="34">
                  <c:v>112.58154962361297</c:v>
                </c:pt>
                <c:pt idx="35">
                  <c:v>356.73121557045505</c:v>
                </c:pt>
                <c:pt idx="36">
                  <c:v>429.91807437182882</c:v>
                </c:pt>
                <c:pt idx="37">
                  <c:v>-809.80989813595158</c:v>
                </c:pt>
                <c:pt idx="38">
                  <c:v>166.54871880965561</c:v>
                </c:pt>
                <c:pt idx="39">
                  <c:v>-652.33437287220841</c:v>
                </c:pt>
              </c:numCache>
            </c:numRef>
          </c:xVal>
          <c:yVal>
            <c:numRef>
              <c:f>SecT1!$Q$3:$Q$42</c:f>
              <c:numCache>
                <c:formatCode>General</c:formatCode>
                <c:ptCount val="40"/>
                <c:pt idx="0">
                  <c:v>-193.47468566894531</c:v>
                </c:pt>
                <c:pt idx="1">
                  <c:v>-195.07479858398438</c:v>
                </c:pt>
                <c:pt idx="2">
                  <c:v>-218.93733215332031</c:v>
                </c:pt>
                <c:pt idx="3">
                  <c:v>-184.29052734375</c:v>
                </c:pt>
                <c:pt idx="4">
                  <c:v>-193.10365295410156</c:v>
                </c:pt>
                <c:pt idx="5">
                  <c:v>-193.0272216796875</c:v>
                </c:pt>
                <c:pt idx="6">
                  <c:v>-192.93278503417969</c:v>
                </c:pt>
                <c:pt idx="7">
                  <c:v>-193.12612915039063</c:v>
                </c:pt>
                <c:pt idx="8">
                  <c:v>-193.28498840332031</c:v>
                </c:pt>
                <c:pt idx="9">
                  <c:v>-192.98037719726563</c:v>
                </c:pt>
                <c:pt idx="10">
                  <c:v>-193.08283996582031</c:v>
                </c:pt>
                <c:pt idx="11">
                  <c:v>-193.27616882324219</c:v>
                </c:pt>
                <c:pt idx="12">
                  <c:v>-192.92431640625</c:v>
                </c:pt>
                <c:pt idx="13">
                  <c:v>-192.87625122070313</c:v>
                </c:pt>
                <c:pt idx="14">
                  <c:v>-114.10828399658203</c:v>
                </c:pt>
                <c:pt idx="15">
                  <c:v>-193.32376098632813</c:v>
                </c:pt>
                <c:pt idx="16">
                  <c:v>-193.02825927734375</c:v>
                </c:pt>
                <c:pt idx="17">
                  <c:v>-193.18208312988281</c:v>
                </c:pt>
                <c:pt idx="18">
                  <c:v>-192.88658142089844</c:v>
                </c:pt>
                <c:pt idx="19">
                  <c:v>-193.33409118652344</c:v>
                </c:pt>
                <c:pt idx="20">
                  <c:v>-193.28602600097656</c:v>
                </c:pt>
                <c:pt idx="21">
                  <c:v>-192.93417358398438</c:v>
                </c:pt>
                <c:pt idx="22">
                  <c:v>-193.12751770019531</c:v>
                </c:pt>
                <c:pt idx="23">
                  <c:v>-193.22996520996094</c:v>
                </c:pt>
                <c:pt idx="24">
                  <c:v>-192.92535400390625</c:v>
                </c:pt>
                <c:pt idx="25">
                  <c:v>-193.08421325683594</c:v>
                </c:pt>
                <c:pt idx="26">
                  <c:v>-193.27755737304688</c:v>
                </c:pt>
                <c:pt idx="27">
                  <c:v>-193.18312072753906</c:v>
                </c:pt>
                <c:pt idx="28">
                  <c:v>-193.10670471191406</c:v>
                </c:pt>
                <c:pt idx="29">
                  <c:v>-201.91981506347656</c:v>
                </c:pt>
                <c:pt idx="30">
                  <c:v>-112.908203125</c:v>
                </c:pt>
                <c:pt idx="31">
                  <c:v>-192.73565673828125</c:v>
                </c:pt>
                <c:pt idx="32">
                  <c:v>-175.0601806640625</c:v>
                </c:pt>
                <c:pt idx="33">
                  <c:v>-194.33576965332031</c:v>
                </c:pt>
                <c:pt idx="34">
                  <c:v>-113.36925506591797</c:v>
                </c:pt>
                <c:pt idx="35">
                  <c:v>-193.53570556640625</c:v>
                </c:pt>
                <c:pt idx="36">
                  <c:v>-194.27473449707031</c:v>
                </c:pt>
                <c:pt idx="37">
                  <c:v>-220.53742980957031</c:v>
                </c:pt>
                <c:pt idx="38">
                  <c:v>-112.76921844482422</c:v>
                </c:pt>
                <c:pt idx="39">
                  <c:v>-203.51991271972656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F2-4455-A7EF-34972DB9F40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SecT1!$AG$41:$AG$42</c:f>
              <c:numCache>
                <c:formatCode>General</c:formatCode>
                <c:ptCount val="2"/>
                <c:pt idx="0">
                  <c:v>2885.3065537670918</c:v>
                </c:pt>
                <c:pt idx="1">
                  <c:v>-3064.8011970465486</c:v>
                </c:pt>
              </c:numCache>
            </c:numRef>
          </c:xVal>
          <c:yVal>
            <c:numRef>
              <c:f>SecT1!$AD$41:$AD$42</c:f>
              <c:numCache>
                <c:formatCode>General</c:formatCode>
                <c:ptCount val="2"/>
                <c:pt idx="0">
                  <c:v>-220.56038973289046</c:v>
                </c:pt>
                <c:pt idx="1">
                  <c:v>-220.53399400239221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F2-4455-A7EF-34972DB9F40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SecT1!$L$4</c:f>
              <c:numCache>
                <c:formatCode>General</c:formatCode>
                <c:ptCount val="1"/>
                <c:pt idx="0">
                  <c:v>3527.5126287062676</c:v>
                </c:pt>
              </c:numCache>
            </c:numRef>
          </c:xVal>
          <c:yVal>
            <c:numRef>
              <c:f>SecT1!$I$4</c:f>
              <c:numCache>
                <c:formatCode>General</c:formatCode>
                <c:ptCount val="1"/>
                <c:pt idx="0">
                  <c:v>-59.800288284399571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F2-4455-A7EF-34972DB9F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SecT1!$AM$3:$AM$39</c:f>
              <c:numCache>
                <c:formatCode>General</c:formatCode>
                <c:ptCount val="37"/>
                <c:pt idx="0">
                  <c:v>2854.3433700688556</c:v>
                </c:pt>
                <c:pt idx="1">
                  <c:v>2723.9003289954021</c:v>
                </c:pt>
                <c:pt idx="2">
                  <c:v>2562.6784508031965</c:v>
                </c:pt>
                <c:pt idx="3">
                  <c:v>2398.7607314088955</c:v>
                </c:pt>
                <c:pt idx="4">
                  <c:v>2198.5215329587968</c:v>
                </c:pt>
                <c:pt idx="5">
                  <c:v>1727.0420404332729</c:v>
                </c:pt>
                <c:pt idx="6">
                  <c:v>844.57720921821181</c:v>
                </c:pt>
                <c:pt idx="7">
                  <c:v>206.60473626616439</c:v>
                </c:pt>
                <c:pt idx="8">
                  <c:v>-271.16900385295344</c:v>
                </c:pt>
                <c:pt idx="9">
                  <c:v>-745.60212209909605</c:v>
                </c:pt>
                <c:pt idx="10">
                  <c:v>-1198.7048734839871</c:v>
                </c:pt>
                <c:pt idx="11">
                  <c:v>-1511.2185908020763</c:v>
                </c:pt>
                <c:pt idx="12">
                  <c:v>-1736.1489265254934</c:v>
                </c:pt>
                <c:pt idx="13">
                  <c:v>-1959.6472152565755</c:v>
                </c:pt>
                <c:pt idx="14">
                  <c:v>-2209.2987669620748</c:v>
                </c:pt>
                <c:pt idx="15">
                  <c:v>-2608.6516755363486</c:v>
                </c:pt>
                <c:pt idx="16">
                  <c:v>-3177.9382762061105</c:v>
                </c:pt>
                <c:pt idx="17">
                  <c:v>-3886.6108494966097</c:v>
                </c:pt>
                <c:pt idx="18">
                  <c:v>-3975.5198894664709</c:v>
                </c:pt>
                <c:pt idx="19">
                  <c:v>-3692.548365465097</c:v>
                </c:pt>
                <c:pt idx="20">
                  <c:v>-2847.7065996305273</c:v>
                </c:pt>
                <c:pt idx="21">
                  <c:v>-2165.3610191144844</c:v>
                </c:pt>
                <c:pt idx="22">
                  <c:v>-1690.792027204089</c:v>
                </c:pt>
                <c:pt idx="23">
                  <c:v>-1350.7515816937557</c:v>
                </c:pt>
                <c:pt idx="24">
                  <c:v>-1008.5445908490898</c:v>
                </c:pt>
                <c:pt idx="25">
                  <c:v>-651.21101490645003</c:v>
                </c:pt>
                <c:pt idx="26">
                  <c:v>-199.83462236977431</c:v>
                </c:pt>
                <c:pt idx="27">
                  <c:v>322.0767513370493</c:v>
                </c:pt>
                <c:pt idx="28">
                  <c:v>942.32534009138624</c:v>
                </c:pt>
                <c:pt idx="29">
                  <c:v>1726.0240318899803</c:v>
                </c:pt>
                <c:pt idx="30">
                  <c:v>2535.3246333515162</c:v>
                </c:pt>
                <c:pt idx="31">
                  <c:v>3055.6505109902259</c:v>
                </c:pt>
                <c:pt idx="32">
                  <c:v>3105.4923496805295</c:v>
                </c:pt>
                <c:pt idx="33">
                  <c:v>3022.8269331641764</c:v>
                </c:pt>
                <c:pt idx="34">
                  <c:v>2877.0000582460052</c:v>
                </c:pt>
                <c:pt idx="35">
                  <c:v>2876.2402093707065</c:v>
                </c:pt>
                <c:pt idx="36">
                  <c:v>2854.3433700688556</c:v>
                </c:pt>
              </c:numCache>
            </c:numRef>
          </c:xVal>
          <c:yVal>
            <c:numRef>
              <c:f>SecT1!$AL$3:$AL$39</c:f>
              <c:numCache>
                <c:formatCode>General</c:formatCode>
                <c:ptCount val="37"/>
                <c:pt idx="0">
                  <c:v>-853.49264308159877</c:v>
                </c:pt>
                <c:pt idx="1">
                  <c:v>-199.321590692863</c:v>
                </c:pt>
                <c:pt idx="2">
                  <c:v>598.72771038349219</c:v>
                </c:pt>
                <c:pt idx="3">
                  <c:v>1374.1555087421848</c:v>
                </c:pt>
                <c:pt idx="4">
                  <c:v>2347.5856048100036</c:v>
                </c:pt>
                <c:pt idx="5">
                  <c:v>3359.8930021841547</c:v>
                </c:pt>
                <c:pt idx="6">
                  <c:v>3554.5546116913138</c:v>
                </c:pt>
                <c:pt idx="7">
                  <c:v>3536.7377842249339</c:v>
                </c:pt>
                <c:pt idx="8">
                  <c:v>3430.9724508847194</c:v>
                </c:pt>
                <c:pt idx="9">
                  <c:v>3411.2509995607693</c:v>
                </c:pt>
                <c:pt idx="10">
                  <c:v>3262.381410787591</c:v>
                </c:pt>
                <c:pt idx="11">
                  <c:v>3139.1778979487976</c:v>
                </c:pt>
                <c:pt idx="12">
                  <c:v>3051.6750352524759</c:v>
                </c:pt>
                <c:pt idx="13">
                  <c:v>2966.9441707094288</c:v>
                </c:pt>
                <c:pt idx="14">
                  <c:v>2863.544080215584</c:v>
                </c:pt>
                <c:pt idx="15">
                  <c:v>2856.4283205925017</c:v>
                </c:pt>
                <c:pt idx="16">
                  <c:v>2918.0324587389923</c:v>
                </c:pt>
                <c:pt idx="17">
                  <c:v>2644.0824954806903</c:v>
                </c:pt>
                <c:pt idx="18">
                  <c:v>1208.5842276825724</c:v>
                </c:pt>
                <c:pt idx="19">
                  <c:v>-329.83417350741865</c:v>
                </c:pt>
                <c:pt idx="20">
                  <c:v>-1366.4609708235198</c:v>
                </c:pt>
                <c:pt idx="21">
                  <c:v>-2033.6738444536777</c:v>
                </c:pt>
                <c:pt idx="22">
                  <c:v>-2376.8408942801539</c:v>
                </c:pt>
                <c:pt idx="23">
                  <c:v>-2696.3310034339197</c:v>
                </c:pt>
                <c:pt idx="24">
                  <c:v>-2996.3249046850419</c:v>
                </c:pt>
                <c:pt idx="25">
                  <c:v>-3427.8970024816144</c:v>
                </c:pt>
                <c:pt idx="26">
                  <c:v>-3973.7790512706106</c:v>
                </c:pt>
                <c:pt idx="27">
                  <c:v>-4581.0404138263466</c:v>
                </c:pt>
                <c:pt idx="28">
                  <c:v>-4745.6806695249552</c:v>
                </c:pt>
                <c:pt idx="29">
                  <c:v>-4690.1490385021571</c:v>
                </c:pt>
                <c:pt idx="30">
                  <c:v>-4331.39927194136</c:v>
                </c:pt>
                <c:pt idx="31">
                  <c:v>-3618.4227692198101</c:v>
                </c:pt>
                <c:pt idx="32">
                  <c:v>-2880.5888895353992</c:v>
                </c:pt>
                <c:pt idx="33">
                  <c:v>-2305.9887204570073</c:v>
                </c:pt>
                <c:pt idx="34">
                  <c:v>-1768.3108750777888</c:v>
                </c:pt>
                <c:pt idx="35">
                  <c:v>-1314.4410869910112</c:v>
                </c:pt>
                <c:pt idx="36">
                  <c:v>-853.49264308159877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95-4525-B813-948C9389BFF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SecT1!$AQ$3:$AQ$30</c:f>
              <c:numCache>
                <c:formatCode>General</c:formatCode>
                <c:ptCount val="28"/>
                <c:pt idx="0">
                  <c:v>-31.503557653989194</c:v>
                </c:pt>
                <c:pt idx="1">
                  <c:v>-266.09850906798232</c:v>
                </c:pt>
                <c:pt idx="2">
                  <c:v>-656.6728312222491</c:v>
                </c:pt>
                <c:pt idx="3">
                  <c:v>-888.43150515150182</c:v>
                </c:pt>
                <c:pt idx="4">
                  <c:v>-1152.3608570898189</c:v>
                </c:pt>
                <c:pt idx="5">
                  <c:v>-915.02881655195802</c:v>
                </c:pt>
                <c:pt idx="6">
                  <c:v>-430.88838066949211</c:v>
                </c:pt>
                <c:pt idx="7">
                  <c:v>-220.08979407005705</c:v>
                </c:pt>
                <c:pt idx="8">
                  <c:v>-35.470940500754722</c:v>
                </c:pt>
                <c:pt idx="9">
                  <c:v>181.53260117197422</c:v>
                </c:pt>
                <c:pt idx="10">
                  <c:v>422.32335078811121</c:v>
                </c:pt>
                <c:pt idx="11">
                  <c:v>333.01653303599016</c:v>
                </c:pt>
                <c:pt idx="12">
                  <c:v>216.76147403579665</c:v>
                </c:pt>
                <c:pt idx="13">
                  <c:v>6.6765432253194212E-13</c:v>
                </c:pt>
                <c:pt idx="14">
                  <c:v>-31.503557653989215</c:v>
                </c:pt>
                <c:pt idx="15">
                  <c:v>-237.1721451793409</c:v>
                </c:pt>
                <c:pt idx="16">
                  <c:v>-547.12970595131731</c:v>
                </c:pt>
                <c:pt idx="17">
                  <c:v>-722.64335157430435</c:v>
                </c:pt>
                <c:pt idx="18">
                  <c:v>-879.87038620590545</c:v>
                </c:pt>
                <c:pt idx="19">
                  <c:v>-526.70550620463564</c:v>
                </c:pt>
                <c:pt idx="20">
                  <c:v>-83.361678654745887</c:v>
                </c:pt>
                <c:pt idx="21">
                  <c:v>89.083117777082734</c:v>
                </c:pt>
                <c:pt idx="22">
                  <c:v>257.71082574157953</c:v>
                </c:pt>
                <c:pt idx="23">
                  <c:v>450.28711779325278</c:v>
                </c:pt>
                <c:pt idx="24">
                  <c:v>617.47679977387725</c:v>
                </c:pt>
                <c:pt idx="25">
                  <c:v>434.60185090252452</c:v>
                </c:pt>
                <c:pt idx="26">
                  <c:v>277.62312815884377</c:v>
                </c:pt>
                <c:pt idx="27">
                  <c:v>3.975742506257821E-13</c:v>
                </c:pt>
              </c:numCache>
            </c:numRef>
          </c:xVal>
          <c:yVal>
            <c:numRef>
              <c:f>SecT1!$AP$3:$AP$30</c:f>
              <c:numCache>
                <c:formatCode>General</c:formatCode>
                <c:ptCount val="28"/>
                <c:pt idx="0">
                  <c:v>-85.122195515413466</c:v>
                </c:pt>
                <c:pt idx="1">
                  <c:v>607.13171374862054</c:v>
                </c:pt>
                <c:pt idx="2">
                  <c:v>2183.8619426344248</c:v>
                </c:pt>
                <c:pt idx="3">
                  <c:v>3121.3540055212752</c:v>
                </c:pt>
                <c:pt idx="4">
                  <c:v>4030.8751341866709</c:v>
                </c:pt>
                <c:pt idx="5">
                  <c:v>3860.4273709748049</c:v>
                </c:pt>
                <c:pt idx="6">
                  <c:v>3619.1241859335241</c:v>
                </c:pt>
                <c:pt idx="7">
                  <c:v>3429.217244798685</c:v>
                </c:pt>
                <c:pt idx="8">
                  <c:v>3277.0502553867022</c:v>
                </c:pt>
                <c:pt idx="9">
                  <c:v>3002.2614964765185</c:v>
                </c:pt>
                <c:pt idx="10">
                  <c:v>2502.6516643257537</c:v>
                </c:pt>
                <c:pt idx="11">
                  <c:v>1881.1275143481118</c:v>
                </c:pt>
                <c:pt idx="12">
                  <c:v>1305.1227213165432</c:v>
                </c:pt>
                <c:pt idx="13">
                  <c:v>-4.1934171882140142E-13</c:v>
                </c:pt>
                <c:pt idx="14">
                  <c:v>-85.122195515413679</c:v>
                </c:pt>
                <c:pt idx="15">
                  <c:v>-776.61703722148127</c:v>
                </c:pt>
                <c:pt idx="16">
                  <c:v>-2393.7678355528801</c:v>
                </c:pt>
                <c:pt idx="17">
                  <c:v>-3365.6328900526009</c:v>
                </c:pt>
                <c:pt idx="18">
                  <c:v>-4253.7678476150186</c:v>
                </c:pt>
                <c:pt idx="19">
                  <c:v>-4099.0175919094872</c:v>
                </c:pt>
                <c:pt idx="20">
                  <c:v>-3737.4061883986228</c:v>
                </c:pt>
                <c:pt idx="21">
                  <c:v>-3498.7079506350742</c:v>
                </c:pt>
                <c:pt idx="22">
                  <c:v>-3292.5058884932969</c:v>
                </c:pt>
                <c:pt idx="23">
                  <c:v>-2950.8506101541016</c:v>
                </c:pt>
                <c:pt idx="24">
                  <c:v>-2452.3370862579673</c:v>
                </c:pt>
                <c:pt idx="25">
                  <c:v>-1860.7733313250951</c:v>
                </c:pt>
                <c:pt idx="26">
                  <c:v>-1316.8827775942002</c:v>
                </c:pt>
                <c:pt idx="27">
                  <c:v>-4.0302601450640823E-13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95-4525-B813-948C9389BFF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SecT1!$S$3:$S$42</c:f>
              <c:numCache>
                <c:formatCode>General</c:formatCode>
                <c:ptCount val="40"/>
                <c:pt idx="0">
                  <c:v>746.16998291015625</c:v>
                </c:pt>
                <c:pt idx="1">
                  <c:v>1161.10400390625</c:v>
                </c:pt>
                <c:pt idx="2">
                  <c:v>17.301162719726563</c:v>
                </c:pt>
                <c:pt idx="3">
                  <c:v>17.845218658447266</c:v>
                </c:pt>
                <c:pt idx="4">
                  <c:v>39.045375823974609</c:v>
                </c:pt>
                <c:pt idx="5">
                  <c:v>26.148242950439453</c:v>
                </c:pt>
                <c:pt idx="6">
                  <c:v>26.592620849609375</c:v>
                </c:pt>
                <c:pt idx="7">
                  <c:v>27.013982772827148</c:v>
                </c:pt>
                <c:pt idx="8">
                  <c:v>25.492536544799805</c:v>
                </c:pt>
                <c:pt idx="9">
                  <c:v>18.138359069824219</c:v>
                </c:pt>
                <c:pt idx="10">
                  <c:v>25.297758102416992</c:v>
                </c:pt>
                <c:pt idx="11">
                  <c:v>25.719120025634766</c:v>
                </c:pt>
                <c:pt idx="12">
                  <c:v>21.481056213378906</c:v>
                </c:pt>
                <c:pt idx="13">
                  <c:v>16.033361434936523</c:v>
                </c:pt>
                <c:pt idx="14">
                  <c:v>1156.1134033203125</c:v>
                </c:pt>
                <c:pt idx="15">
                  <c:v>17.264860153198242</c:v>
                </c:pt>
                <c:pt idx="16">
                  <c:v>10.07670783996582</c:v>
                </c:pt>
                <c:pt idx="17">
                  <c:v>20.825349807739258</c:v>
                </c:pt>
                <c:pt idx="18">
                  <c:v>13.63719654083252</c:v>
                </c:pt>
                <c:pt idx="19">
                  <c:v>14.868695259094238</c:v>
                </c:pt>
                <c:pt idx="20">
                  <c:v>9.4210004806518555</c:v>
                </c:pt>
                <c:pt idx="21">
                  <c:v>5.1829361915588379</c:v>
                </c:pt>
                <c:pt idx="22">
                  <c:v>5.6043000221252441</c:v>
                </c:pt>
                <c:pt idx="23">
                  <c:v>12.763696670532227</c:v>
                </c:pt>
                <c:pt idx="24">
                  <c:v>5.4095206260681152</c:v>
                </c:pt>
                <c:pt idx="25">
                  <c:v>3.8880734443664551</c:v>
                </c:pt>
                <c:pt idx="26">
                  <c:v>4.3094367980957031</c:v>
                </c:pt>
                <c:pt idx="27">
                  <c:v>4.7538132667541504</c:v>
                </c:pt>
                <c:pt idx="28">
                  <c:v>-8.1433172225952148</c:v>
                </c:pt>
                <c:pt idx="29">
                  <c:v>13.056838989257813</c:v>
                </c:pt>
                <c:pt idx="30">
                  <c:v>739.99456787109375</c:v>
                </c:pt>
                <c:pt idx="31">
                  <c:v>-715.2679443359375</c:v>
                </c:pt>
                <c:pt idx="32">
                  <c:v>14.428714752197266</c:v>
                </c:pt>
                <c:pt idx="33">
                  <c:v>-1137.40185546875</c:v>
                </c:pt>
                <c:pt idx="34">
                  <c:v>-1142.3924560546875</c:v>
                </c:pt>
                <c:pt idx="35">
                  <c:v>-933.41748046875</c:v>
                </c:pt>
                <c:pt idx="36">
                  <c:v>960.7196044921875</c:v>
                </c:pt>
                <c:pt idx="37">
                  <c:v>13.473413467407227</c:v>
                </c:pt>
                <c:pt idx="38">
                  <c:v>-939.00054931640625</c:v>
                </c:pt>
                <c:pt idx="39">
                  <c:v>352.15841674804688</c:v>
                </c:pt>
              </c:numCache>
            </c:numRef>
          </c:xVal>
          <c:yVal>
            <c:numRef>
              <c:f>SecT1!$R$3:$R$42</c:f>
              <c:numCache>
                <c:formatCode>General</c:formatCode>
                <c:ptCount val="40"/>
                <c:pt idx="0">
                  <c:v>1899.5633544921875</c:v>
                </c:pt>
                <c:pt idx="1">
                  <c:v>-1394.5313720703125</c:v>
                </c:pt>
                <c:pt idx="2">
                  <c:v>1772.7008056640625</c:v>
                </c:pt>
                <c:pt idx="3">
                  <c:v>1676.9306640625</c:v>
                </c:pt>
                <c:pt idx="4">
                  <c:v>1509.0343017578125</c:v>
                </c:pt>
                <c:pt idx="5">
                  <c:v>1504.3433837890625</c:v>
                </c:pt>
                <c:pt idx="6">
                  <c:v>1502.942626953125</c:v>
                </c:pt>
                <c:pt idx="7">
                  <c:v>1501.9039306640625</c:v>
                </c:pt>
                <c:pt idx="8">
                  <c:v>1500.7325439453125</c:v>
                </c:pt>
                <c:pt idx="9">
                  <c:v>1499.5281982421875</c:v>
                </c:pt>
                <c:pt idx="10">
                  <c:v>1499.1710205078125</c:v>
                </c:pt>
                <c:pt idx="11">
                  <c:v>1498.1324462890625</c:v>
                </c:pt>
                <c:pt idx="12">
                  <c:v>1496.823486328125</c:v>
                </c:pt>
                <c:pt idx="13">
                  <c:v>1496.6875</c:v>
                </c:pt>
                <c:pt idx="14">
                  <c:v>-1057.4520263671875</c:v>
                </c:pt>
                <c:pt idx="15">
                  <c:v>1494.718017578125</c:v>
                </c:pt>
                <c:pt idx="16">
                  <c:v>1493.7489013671875</c:v>
                </c:pt>
                <c:pt idx="17">
                  <c:v>1493.212646484375</c:v>
                </c:pt>
                <c:pt idx="18">
                  <c:v>1492.2435302734375</c:v>
                </c:pt>
                <c:pt idx="19">
                  <c:v>1490.27392578125</c:v>
                </c:pt>
                <c:pt idx="20">
                  <c:v>1490.1380615234375</c:v>
                </c:pt>
                <c:pt idx="21">
                  <c:v>1488.8291015625</c:v>
                </c:pt>
                <c:pt idx="22">
                  <c:v>1487.79052734375</c:v>
                </c:pt>
                <c:pt idx="23">
                  <c:v>1487.433349609375</c:v>
                </c:pt>
                <c:pt idx="24">
                  <c:v>1486.22900390625</c:v>
                </c:pt>
                <c:pt idx="25">
                  <c:v>1485.0576171875</c:v>
                </c:pt>
                <c:pt idx="26">
                  <c:v>1484.0189208984375</c:v>
                </c:pt>
                <c:pt idx="27">
                  <c:v>1482.6181640625</c:v>
                </c:pt>
                <c:pt idx="28">
                  <c:v>1477.9271240234375</c:v>
                </c:pt>
                <c:pt idx="29">
                  <c:v>1310.0308837890625</c:v>
                </c:pt>
                <c:pt idx="30">
                  <c:v>1177.1680908203125</c:v>
                </c:pt>
                <c:pt idx="31">
                  <c:v>1087.398193359375</c:v>
                </c:pt>
                <c:pt idx="32">
                  <c:v>1199.4664306640625</c:v>
                </c:pt>
                <c:pt idx="33">
                  <c:v>-0.28983169794082642</c:v>
                </c:pt>
                <c:pt idx="34">
                  <c:v>336.78948974609375</c:v>
                </c:pt>
                <c:pt idx="35">
                  <c:v>544.88232421875</c:v>
                </c:pt>
                <c:pt idx="36">
                  <c:v>251.18789672851563</c:v>
                </c:pt>
                <c:pt idx="37">
                  <c:v>-827.5919189453125</c:v>
                </c:pt>
                <c:pt idx="38">
                  <c:v>352.224365234375</c:v>
                </c:pt>
                <c:pt idx="39">
                  <c:v>-733.01385498046875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95-4525-B813-948C9389BFF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SecT1!$AG$3:$AG$39</c:f>
              <c:numCache>
                <c:formatCode>General</c:formatCode>
                <c:ptCount val="37"/>
                <c:pt idx="0">
                  <c:v>2356.5814847772313</c:v>
                </c:pt>
                <c:pt idx="1">
                  <c:v>2255.8109108479025</c:v>
                </c:pt>
                <c:pt idx="2">
                  <c:v>2040.5503668811639</c:v>
                </c:pt>
                <c:pt idx="3">
                  <c:v>1763.753911674836</c:v>
                </c:pt>
                <c:pt idx="4">
                  <c:v>1537.9365872676449</c:v>
                </c:pt>
                <c:pt idx="5">
                  <c:v>1323.4526913949535</c:v>
                </c:pt>
                <c:pt idx="6">
                  <c:v>1019.1794266893993</c:v>
                </c:pt>
                <c:pt idx="7">
                  <c:v>652.19270860216943</c:v>
                </c:pt>
                <c:pt idx="8">
                  <c:v>195.94296378642451</c:v>
                </c:pt>
                <c:pt idx="9">
                  <c:v>-233.18919076818213</c:v>
                </c:pt>
                <c:pt idx="10">
                  <c:v>-650.80046455668173</c:v>
                </c:pt>
                <c:pt idx="11">
                  <c:v>-1062.7370395568589</c:v>
                </c:pt>
                <c:pt idx="12">
                  <c:v>-1503.6025502310822</c:v>
                </c:pt>
                <c:pt idx="13">
                  <c:v>-1913.5344104867904</c:v>
                </c:pt>
                <c:pt idx="14">
                  <c:v>-2238.3754446073094</c:v>
                </c:pt>
                <c:pt idx="15">
                  <c:v>-2496.7201330758448</c:v>
                </c:pt>
                <c:pt idx="16">
                  <c:v>-2733.2615592473212</c:v>
                </c:pt>
                <c:pt idx="17">
                  <c:v>-2994.4347266717132</c:v>
                </c:pt>
                <c:pt idx="18">
                  <c:v>-3766.0055731071125</c:v>
                </c:pt>
                <c:pt idx="19">
                  <c:v>-2976.4992318967197</c:v>
                </c:pt>
                <c:pt idx="20">
                  <c:v>-2558.3411525913439</c:v>
                </c:pt>
                <c:pt idx="21">
                  <c:v>-2145.2848099703306</c:v>
                </c:pt>
                <c:pt idx="22">
                  <c:v>-1678.2135803837721</c:v>
                </c:pt>
                <c:pt idx="23">
                  <c:v>-1184.0380650555664</c:v>
                </c:pt>
                <c:pt idx="24">
                  <c:v>-644.5082055799661</c:v>
                </c:pt>
                <c:pt idx="25">
                  <c:v>-122.15727187347686</c:v>
                </c:pt>
                <c:pt idx="26">
                  <c:v>376.58061762916878</c:v>
                </c:pt>
                <c:pt idx="27">
                  <c:v>876.90202183936867</c:v>
                </c:pt>
                <c:pt idx="28">
                  <c:v>1330.4924620767672</c:v>
                </c:pt>
                <c:pt idx="29">
                  <c:v>1640.9463712801216</c:v>
                </c:pt>
                <c:pt idx="30">
                  <c:v>1877.6845124313022</c:v>
                </c:pt>
                <c:pt idx="31">
                  <c:v>1953.5622381353523</c:v>
                </c:pt>
                <c:pt idx="32">
                  <c:v>2050.7895236906802</c:v>
                </c:pt>
                <c:pt idx="33">
                  <c:v>2120.4319631100143</c:v>
                </c:pt>
                <c:pt idx="34">
                  <c:v>2208.9126342366126</c:v>
                </c:pt>
                <c:pt idx="35">
                  <c:v>2301.0354890851859</c:v>
                </c:pt>
                <c:pt idx="36">
                  <c:v>2356.5814847772313</c:v>
                </c:pt>
              </c:numCache>
            </c:numRef>
          </c:xVal>
          <c:yVal>
            <c:numRef>
              <c:f>SecT1!$AF$3:$AF$39</c:f>
              <c:numCache>
                <c:formatCode>General</c:formatCode>
                <c:ptCount val="37"/>
                <c:pt idx="0">
                  <c:v>-730.74907508357592</c:v>
                </c:pt>
                <c:pt idx="1">
                  <c:v>103.74198354713594</c:v>
                </c:pt>
                <c:pt idx="2">
                  <c:v>977.48712740003191</c:v>
                </c:pt>
                <c:pt idx="3">
                  <c:v>1742.9841201207435</c:v>
                </c:pt>
                <c:pt idx="4">
                  <c:v>2258.133487325536</c:v>
                </c:pt>
                <c:pt idx="5">
                  <c:v>2633.9566025376566</c:v>
                </c:pt>
                <c:pt idx="6">
                  <c:v>2752.2295937702334</c:v>
                </c:pt>
                <c:pt idx="7">
                  <c:v>2829.0972728774923</c:v>
                </c:pt>
                <c:pt idx="8">
                  <c:v>2897.0127513357115</c:v>
                </c:pt>
                <c:pt idx="9">
                  <c:v>2912.6618703012819</c:v>
                </c:pt>
                <c:pt idx="10">
                  <c:v>2828.068950789283</c:v>
                </c:pt>
                <c:pt idx="11">
                  <c:v>2694.9033885411395</c:v>
                </c:pt>
                <c:pt idx="12">
                  <c:v>2482.4731203759143</c:v>
                </c:pt>
                <c:pt idx="13">
                  <c:v>2217.5108611359465</c:v>
                </c:pt>
                <c:pt idx="14">
                  <c:v>1955.8951127937769</c:v>
                </c:pt>
                <c:pt idx="15">
                  <c:v>1722.5171984951364</c:v>
                </c:pt>
                <c:pt idx="16">
                  <c:v>1495.1415865327997</c:v>
                </c:pt>
                <c:pt idx="17">
                  <c:v>1211.3687318877373</c:v>
                </c:pt>
                <c:pt idx="18">
                  <c:v>1221.608763303037</c:v>
                </c:pt>
                <c:pt idx="19">
                  <c:v>236.5467956923807</c:v>
                </c:pt>
                <c:pt idx="20">
                  <c:v>-548.65515737840383</c:v>
                </c:pt>
                <c:pt idx="21">
                  <c:v>-1172.5658781065633</c:v>
                </c:pt>
                <c:pt idx="22">
                  <c:v>-1749.9073532945847</c:v>
                </c:pt>
                <c:pt idx="23">
                  <c:v>-2234.3465484683857</c:v>
                </c:pt>
                <c:pt idx="24">
                  <c:v>-2657.2164626669878</c:v>
                </c:pt>
                <c:pt idx="25">
                  <c:v>-2965.7748241875952</c:v>
                </c:pt>
                <c:pt idx="26">
                  <c:v>-3208.1925047914133</c:v>
                </c:pt>
                <c:pt idx="27">
                  <c:v>-3416.6182004367038</c:v>
                </c:pt>
                <c:pt idx="28">
                  <c:v>-3460.4773581297477</c:v>
                </c:pt>
                <c:pt idx="29">
                  <c:v>-3489.3564370191234</c:v>
                </c:pt>
                <c:pt idx="30">
                  <c:v>-3440.783438598899</c:v>
                </c:pt>
                <c:pt idx="31">
                  <c:v>-3115.476261311027</c:v>
                </c:pt>
                <c:pt idx="32">
                  <c:v>-2828.6306768386662</c:v>
                </c:pt>
                <c:pt idx="33">
                  <c:v>-2497.4895047060722</c:v>
                </c:pt>
                <c:pt idx="34">
                  <c:v>-2081.8116867937292</c:v>
                </c:pt>
                <c:pt idx="35">
                  <c:v>-1523.8372889285029</c:v>
                </c:pt>
                <c:pt idx="36">
                  <c:v>-730.74907508357592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95-4525-B813-948C9389BFFF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SecT1!$K$4</c:f>
              <c:numCache>
                <c:formatCode>General</c:formatCode>
                <c:ptCount val="1"/>
                <c:pt idx="0">
                  <c:v>-597.31430895989854</c:v>
                </c:pt>
              </c:numCache>
            </c:numRef>
          </c:xVal>
          <c:yVal>
            <c:numRef>
              <c:f>SecT1!$J$4</c:f>
              <c:numCache>
                <c:formatCode>General</c:formatCode>
                <c:ptCount val="1"/>
                <c:pt idx="0">
                  <c:v>3709.6881965803132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95-4525-B813-948C9389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SecT2!$C$45:$C$53</c:f>
              <c:numCache>
                <c:formatCode>General</c:formatCode>
                <c:ptCount val="9"/>
                <c:pt idx="0">
                  <c:v>-38.555150243958636</c:v>
                </c:pt>
                <c:pt idx="1">
                  <c:v>31.444849756041364</c:v>
                </c:pt>
                <c:pt idx="2">
                  <c:v>31.444849756041364</c:v>
                </c:pt>
                <c:pt idx="3">
                  <c:v>21.444849756041364</c:v>
                </c:pt>
                <c:pt idx="4">
                  <c:v>21.444849756041364</c:v>
                </c:pt>
                <c:pt idx="5">
                  <c:v>-3.5551502439586358</c:v>
                </c:pt>
                <c:pt idx="6">
                  <c:v>-3.5551502439586358</c:v>
                </c:pt>
                <c:pt idx="7">
                  <c:v>-38.555150243958636</c:v>
                </c:pt>
                <c:pt idx="8">
                  <c:v>-38.555150243958636</c:v>
                </c:pt>
              </c:numCache>
            </c:numRef>
          </c:xVal>
          <c:yVal>
            <c:numRef>
              <c:f>SecT2!$D$45:$D$53</c:f>
              <c:numCache>
                <c:formatCode>General</c:formatCode>
                <c:ptCount val="9"/>
                <c:pt idx="0">
                  <c:v>-20.51618029275037</c:v>
                </c:pt>
                <c:pt idx="1">
                  <c:v>-20.51618029275037</c:v>
                </c:pt>
                <c:pt idx="2">
                  <c:v>4.48381970724963</c:v>
                </c:pt>
                <c:pt idx="3">
                  <c:v>4.48381970724963</c:v>
                </c:pt>
                <c:pt idx="4">
                  <c:v>34.48381970724963</c:v>
                </c:pt>
                <c:pt idx="5">
                  <c:v>34.48381970724963</c:v>
                </c:pt>
                <c:pt idx="6">
                  <c:v>4.48381970724963</c:v>
                </c:pt>
                <c:pt idx="7">
                  <c:v>4.48381970724963</c:v>
                </c:pt>
                <c:pt idx="8">
                  <c:v>-20.51618029275037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0-41AE-9611-6D89FB5BAF81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SecT2!$J$45:$J$55</c:f>
              <c:numCache>
                <c:formatCode>General</c:formatCode>
                <c:ptCount val="11"/>
                <c:pt idx="0">
                  <c:v>-38.555150243958636</c:v>
                </c:pt>
                <c:pt idx="1">
                  <c:v>-14.247364224661471</c:v>
                </c:pt>
                <c:pt idx="2">
                  <c:v>-9.3935476098517814</c:v>
                </c:pt>
                <c:pt idx="3">
                  <c:v>-38.555150243958636</c:v>
                </c:pt>
                <c:pt idx="4">
                  <c:v>-38.555150243958636</c:v>
                </c:pt>
                <c:pt idx="5">
                  <c:v>-38.555150243958636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SecT2!$K$45:$K$55</c:f>
              <c:numCache>
                <c:formatCode>General</c:formatCode>
                <c:ptCount val="11"/>
                <c:pt idx="0">
                  <c:v>-20.516180292750366</c:v>
                </c:pt>
                <c:pt idx="1">
                  <c:v>-20.516180292750366</c:v>
                </c:pt>
                <c:pt idx="2">
                  <c:v>4.48381970724963</c:v>
                </c:pt>
                <c:pt idx="3">
                  <c:v>4.48381970724963</c:v>
                </c:pt>
                <c:pt idx="4">
                  <c:v>-20.516180292750366</c:v>
                </c:pt>
                <c:pt idx="5">
                  <c:v>-20.516180292750366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70-41AE-9611-6D89FB5BAF81}"/>
            </c:ext>
          </c:extLst>
        </c:ser>
        <c:ser>
          <c:idx val="3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SecT2!$Z$45:$Z$72</c:f>
              <c:numCache>
                <c:formatCode>General</c:formatCode>
                <c:ptCount val="28"/>
                <c:pt idx="0">
                  <c:v>-33.555150243958636</c:v>
                </c:pt>
                <c:pt idx="1">
                  <c:v>1.4448497560413642</c:v>
                </c:pt>
                <c:pt idx="2">
                  <c:v>16.444849756041364</c:v>
                </c:pt>
                <c:pt idx="3">
                  <c:v>26.444849756041364</c:v>
                </c:pt>
                <c:pt idx="4">
                  <c:v>26.444849756041364</c:v>
                </c:pt>
                <c:pt idx="5">
                  <c:v>16.444849756041364</c:v>
                </c:pt>
                <c:pt idx="6">
                  <c:v>16.444849756041364</c:v>
                </c:pt>
                <c:pt idx="7">
                  <c:v>1.4448497560413642</c:v>
                </c:pt>
                <c:pt idx="8">
                  <c:v>1.4448497560413642</c:v>
                </c:pt>
                <c:pt idx="9">
                  <c:v>-33.555150243958636</c:v>
                </c:pt>
                <c:pt idx="10">
                  <c:v>-21.888483577291971</c:v>
                </c:pt>
                <c:pt idx="11">
                  <c:v>-10.221816910625304</c:v>
                </c:pt>
                <c:pt idx="12">
                  <c:v>16.444849756041364</c:v>
                </c:pt>
                <c:pt idx="13">
                  <c:v>1.4448497560413642</c:v>
                </c:pt>
                <c:pt idx="14">
                  <c:v>-21.888483577291971</c:v>
                </c:pt>
                <c:pt idx="15">
                  <c:v>-10.221816910625304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xVal>
          <c:yVal>
            <c:numRef>
              <c:f>SecT2!$AA$45:$AA$72</c:f>
              <c:numCache>
                <c:formatCode>General</c:formatCode>
                <c:ptCount val="28"/>
                <c:pt idx="0">
                  <c:v>-15.51618029275037</c:v>
                </c:pt>
                <c:pt idx="1">
                  <c:v>-15.51618029275037</c:v>
                </c:pt>
                <c:pt idx="2">
                  <c:v>-15.51618029275037</c:v>
                </c:pt>
                <c:pt idx="3">
                  <c:v>-15.51618029275037</c:v>
                </c:pt>
                <c:pt idx="4">
                  <c:v>-0.51618029275037003</c:v>
                </c:pt>
                <c:pt idx="5">
                  <c:v>-0.51618029275037003</c:v>
                </c:pt>
                <c:pt idx="6">
                  <c:v>29.48381970724963</c:v>
                </c:pt>
                <c:pt idx="7">
                  <c:v>29.48381970724963</c:v>
                </c:pt>
                <c:pt idx="8">
                  <c:v>-0.51618029275037003</c:v>
                </c:pt>
                <c:pt idx="9">
                  <c:v>-0.51618029275037003</c:v>
                </c:pt>
                <c:pt idx="10">
                  <c:v>-15.51618029275037</c:v>
                </c:pt>
                <c:pt idx="11">
                  <c:v>-15.51618029275037</c:v>
                </c:pt>
                <c:pt idx="12">
                  <c:v>14.48381970724963</c:v>
                </c:pt>
                <c:pt idx="13">
                  <c:v>14.48381970724963</c:v>
                </c:pt>
                <c:pt idx="14">
                  <c:v>-0.51618029275037003</c:v>
                </c:pt>
                <c:pt idx="15">
                  <c:v>-0.51618029275037003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70-41AE-9611-6D89FB5BA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  <c:majorUnit val="10"/>
        <c:minorUnit val="5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SecT2!$AM$41:$AM$42</c:f>
              <c:numCache>
                <c:formatCode>General</c:formatCode>
                <c:ptCount val="2"/>
                <c:pt idx="0">
                  <c:v>3530.4774753665561</c:v>
                </c:pt>
                <c:pt idx="1">
                  <c:v>-4222.8446236394957</c:v>
                </c:pt>
              </c:numCache>
            </c:numRef>
          </c:xVal>
          <c:yVal>
            <c:numRef>
              <c:f>SecT2!$AJ$41:$AJ$42</c:f>
              <c:numCache>
                <c:formatCode>General</c:formatCode>
                <c:ptCount val="2"/>
                <c:pt idx="0">
                  <c:v>-112.74316315088717</c:v>
                </c:pt>
                <c:pt idx="1">
                  <c:v>-112.73922258523805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4-41A7-8B6E-6E248E707FA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SecT2!$AR$3:$AR$30</c:f>
              <c:numCache>
                <c:formatCode>General</c:formatCode>
                <c:ptCount val="28"/>
                <c:pt idx="0">
                  <c:v>-61.539189339500268</c:v>
                </c:pt>
                <c:pt idx="1">
                  <c:v>632.55168897049145</c:v>
                </c:pt>
                <c:pt idx="2">
                  <c:v>2334.0317278159023</c:v>
                </c:pt>
                <c:pt idx="3">
                  <c:v>3351.3817481047849</c:v>
                </c:pt>
                <c:pt idx="4">
                  <c:v>4308.7156221085106</c:v>
                </c:pt>
                <c:pt idx="5">
                  <c:v>4147.6897535504013</c:v>
                </c:pt>
                <c:pt idx="6">
                  <c:v>3753.6277526267245</c:v>
                </c:pt>
                <c:pt idx="7">
                  <c:v>3537.5770094181103</c:v>
                </c:pt>
                <c:pt idx="8">
                  <c:v>3413.5456712420214</c:v>
                </c:pt>
                <c:pt idx="9">
                  <c:v>3173.7880964359615</c:v>
                </c:pt>
                <c:pt idx="10">
                  <c:v>2689.1763594291783</c:v>
                </c:pt>
                <c:pt idx="11">
                  <c:v>1816.7981669781609</c:v>
                </c:pt>
                <c:pt idx="12">
                  <c:v>1275.3947376225387</c:v>
                </c:pt>
                <c:pt idx="13">
                  <c:v>-5.1869619710487314E-13</c:v>
                </c:pt>
                <c:pt idx="14">
                  <c:v>-61.539189339500211</c:v>
                </c:pt>
                <c:pt idx="15">
                  <c:v>-742.36859235457609</c:v>
                </c:pt>
                <c:pt idx="16">
                  <c:v>-2324.81716472987</c:v>
                </c:pt>
                <c:pt idx="17">
                  <c:v>-3254.6989231231601</c:v>
                </c:pt>
                <c:pt idx="18">
                  <c:v>-4403.5664578404967</c:v>
                </c:pt>
                <c:pt idx="19">
                  <c:v>-4301.5760910225836</c:v>
                </c:pt>
                <c:pt idx="20">
                  <c:v>-3924.2556331340379</c:v>
                </c:pt>
                <c:pt idx="21">
                  <c:v>-3640.4339231353115</c:v>
                </c:pt>
                <c:pt idx="22">
                  <c:v>-3410.9025684455951</c:v>
                </c:pt>
                <c:pt idx="23">
                  <c:v>-3069.1827192301971</c:v>
                </c:pt>
                <c:pt idx="24">
                  <c:v>-2655.0194519293996</c:v>
                </c:pt>
                <c:pt idx="25">
                  <c:v>-2006.9322859314379</c:v>
                </c:pt>
                <c:pt idx="26">
                  <c:v>-1386.3013604048515</c:v>
                </c:pt>
                <c:pt idx="27">
                  <c:v>-4.3343106881366243E-13</c:v>
                </c:pt>
              </c:numCache>
            </c:numRef>
          </c:xVal>
          <c:yVal>
            <c:numRef>
              <c:f>SecT2!$AO$3:$AO$30</c:f>
              <c:numCache>
                <c:formatCode>General</c:formatCode>
                <c:ptCount val="28"/>
                <c:pt idx="0">
                  <c:v>190.00351506046883</c:v>
                </c:pt>
                <c:pt idx="1">
                  <c:v>165.36287292382423</c:v>
                </c:pt>
                <c:pt idx="2">
                  <c:v>104.99716206123011</c:v>
                </c:pt>
                <c:pt idx="3">
                  <c:v>59.276988681391146</c:v>
                </c:pt>
                <c:pt idx="4">
                  <c:v>5.9485351015524088</c:v>
                </c:pt>
                <c:pt idx="5">
                  <c:v>-33.850586269682566</c:v>
                </c:pt>
                <c:pt idx="6">
                  <c:v>-82.476868535405544</c:v>
                </c:pt>
                <c:pt idx="7">
                  <c:v>-110.43759978860339</c:v>
                </c:pt>
                <c:pt idx="8">
                  <c:v>-153.62619051508298</c:v>
                </c:pt>
                <c:pt idx="9">
                  <c:v>-203.04200251079948</c:v>
                </c:pt>
                <c:pt idx="10">
                  <c:v>-261.2731010865819</c:v>
                </c:pt>
                <c:pt idx="11">
                  <c:v>-326.20999696014519</c:v>
                </c:pt>
                <c:pt idx="12">
                  <c:v>-337.16415952062863</c:v>
                </c:pt>
                <c:pt idx="13">
                  <c:v>-337.16415952062863</c:v>
                </c:pt>
                <c:pt idx="14">
                  <c:v>190.00351506046883</c:v>
                </c:pt>
                <c:pt idx="15">
                  <c:v>160.21820793953026</c:v>
                </c:pt>
                <c:pt idx="16">
                  <c:v>92.295085048175579</c:v>
                </c:pt>
                <c:pt idx="17">
                  <c:v>41.264853780336324</c:v>
                </c:pt>
                <c:pt idx="18">
                  <c:v>-37.626684370285084</c:v>
                </c:pt>
                <c:pt idx="19">
                  <c:v>-92.858519187708282</c:v>
                </c:pt>
                <c:pt idx="20">
                  <c:v>-151.22033907823925</c:v>
                </c:pt>
                <c:pt idx="21">
                  <c:v>-176.18148658214173</c:v>
                </c:pt>
                <c:pt idx="22">
                  <c:v>-218.07228325988484</c:v>
                </c:pt>
                <c:pt idx="23">
                  <c:v>-260.59136249232165</c:v>
                </c:pt>
                <c:pt idx="24">
                  <c:v>-296.0300349729431</c:v>
                </c:pt>
                <c:pt idx="25">
                  <c:v>-335.60673626383385</c:v>
                </c:pt>
                <c:pt idx="26">
                  <c:v>-337.16415952062863</c:v>
                </c:pt>
                <c:pt idx="27">
                  <c:v>-337.16415952062863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14-41A7-8B6E-6E248E707FA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SecT2!$U$3:$U$42</c:f>
              <c:numCache>
                <c:formatCode>General</c:formatCode>
                <c:ptCount val="40"/>
                <c:pt idx="0">
                  <c:v>2006.9577551076375</c:v>
                </c:pt>
                <c:pt idx="1">
                  <c:v>-1147.6691845551568</c:v>
                </c:pt>
                <c:pt idx="2">
                  <c:v>1743.5029488142268</c:v>
                </c:pt>
                <c:pt idx="3">
                  <c:v>1649.5920616798983</c:v>
                </c:pt>
                <c:pt idx="4">
                  <c:v>1488.8140202210068</c:v>
                </c:pt>
                <c:pt idx="5">
                  <c:v>1481.7509796927395</c:v>
                </c:pt>
                <c:pt idx="6">
                  <c:v>1480.4605957149981</c:v>
                </c:pt>
                <c:pt idx="7">
                  <c:v>1479.5212486593398</c:v>
                </c:pt>
                <c:pt idx="8">
                  <c:v>1478.0813566128252</c:v>
                </c:pt>
                <c:pt idx="9">
                  <c:v>1475.4974281834438</c:v>
                </c:pt>
                <c:pt idx="10">
                  <c:v>1476.511333899912</c:v>
                </c:pt>
                <c:pt idx="11">
                  <c:v>1475.5721066768972</c:v>
                </c:pt>
                <c:pt idx="12">
                  <c:v>1473.4793931653971</c:v>
                </c:pt>
                <c:pt idx="13">
                  <c:v>1472.3076035392669</c:v>
                </c:pt>
                <c:pt idx="14">
                  <c:v>-817.72001148467803</c:v>
                </c:pt>
                <c:pt idx="15">
                  <c:v>1470.6089395088713</c:v>
                </c:pt>
                <c:pt idx="16">
                  <c:v>1468.2875719262652</c:v>
                </c:pt>
                <c:pt idx="17">
                  <c:v>1469.8097700854826</c:v>
                </c:pt>
                <c:pt idx="18">
                  <c:v>1467.4884023211123</c:v>
                </c:pt>
                <c:pt idx="19">
                  <c:v>1465.7896184580727</c:v>
                </c:pt>
                <c:pt idx="20">
                  <c:v>1464.6179486645865</c:v>
                </c:pt>
                <c:pt idx="21">
                  <c:v>1462.5252350622043</c:v>
                </c:pt>
                <c:pt idx="22">
                  <c:v>1461.5860082027182</c:v>
                </c:pt>
                <c:pt idx="23">
                  <c:v>1462.5999134647755</c:v>
                </c:pt>
                <c:pt idx="24">
                  <c:v>1460.0159853080406</c:v>
                </c:pt>
                <c:pt idx="25">
                  <c:v>1458.5760930797619</c:v>
                </c:pt>
                <c:pt idx="26">
                  <c:v>1457.6367462967498</c:v>
                </c:pt>
                <c:pt idx="27">
                  <c:v>1456.3463620463619</c:v>
                </c:pt>
                <c:pt idx="28">
                  <c:v>1449.2832021398619</c:v>
                </c:pt>
                <c:pt idx="29">
                  <c:v>1288.5052803318495</c:v>
                </c:pt>
                <c:pt idx="30">
                  <c:v>1296.6277119552099</c:v>
                </c:pt>
                <c:pt idx="31">
                  <c:v>931.13958326882494</c:v>
                </c:pt>
                <c:pt idx="32">
                  <c:v>1180.2290531564124</c:v>
                </c:pt>
                <c:pt idx="33">
                  <c:v>-217.06609604352312</c:v>
                </c:pt>
                <c:pt idx="34">
                  <c:v>112.8830532125582</c:v>
                </c:pt>
                <c:pt idx="35">
                  <c:v>356.99064590702119</c:v>
                </c:pt>
                <c:pt idx="36">
                  <c:v>429.69043680744994</c:v>
                </c:pt>
                <c:pt idx="37">
                  <c:v>-809.85339825635447</c:v>
                </c:pt>
                <c:pt idx="38">
                  <c:v>166.80019923313321</c:v>
                </c:pt>
                <c:pt idx="39">
                  <c:v>-652.45783040309368</c:v>
                </c:pt>
              </c:numCache>
            </c:numRef>
          </c:xVal>
          <c:yVal>
            <c:numRef>
              <c:f>SecT2!$Q$3:$Q$42</c:f>
              <c:numCache>
                <c:formatCode>General</c:formatCode>
                <c:ptCount val="40"/>
                <c:pt idx="0">
                  <c:v>-193.47468566894531</c:v>
                </c:pt>
                <c:pt idx="1">
                  <c:v>-195.07479858398438</c:v>
                </c:pt>
                <c:pt idx="2">
                  <c:v>-218.93733215332031</c:v>
                </c:pt>
                <c:pt idx="3">
                  <c:v>-184.29052734375</c:v>
                </c:pt>
                <c:pt idx="4">
                  <c:v>-193.10365295410156</c:v>
                </c:pt>
                <c:pt idx="5">
                  <c:v>-193.0272216796875</c:v>
                </c:pt>
                <c:pt idx="6">
                  <c:v>-192.93278503417969</c:v>
                </c:pt>
                <c:pt idx="7">
                  <c:v>-193.12612915039063</c:v>
                </c:pt>
                <c:pt idx="8">
                  <c:v>-193.28498840332031</c:v>
                </c:pt>
                <c:pt idx="9">
                  <c:v>-192.98037719726563</c:v>
                </c:pt>
                <c:pt idx="10">
                  <c:v>-193.08283996582031</c:v>
                </c:pt>
                <c:pt idx="11">
                  <c:v>-193.27616882324219</c:v>
                </c:pt>
                <c:pt idx="12">
                  <c:v>-192.92431640625</c:v>
                </c:pt>
                <c:pt idx="13">
                  <c:v>-192.87625122070313</c:v>
                </c:pt>
                <c:pt idx="14">
                  <c:v>-114.10828399658203</c:v>
                </c:pt>
                <c:pt idx="15">
                  <c:v>-193.32376098632813</c:v>
                </c:pt>
                <c:pt idx="16">
                  <c:v>-193.02825927734375</c:v>
                </c:pt>
                <c:pt idx="17">
                  <c:v>-193.18208312988281</c:v>
                </c:pt>
                <c:pt idx="18">
                  <c:v>-192.88658142089844</c:v>
                </c:pt>
                <c:pt idx="19">
                  <c:v>-193.33409118652344</c:v>
                </c:pt>
                <c:pt idx="20">
                  <c:v>-193.28602600097656</c:v>
                </c:pt>
                <c:pt idx="21">
                  <c:v>-192.93417358398438</c:v>
                </c:pt>
                <c:pt idx="22">
                  <c:v>-193.12751770019531</c:v>
                </c:pt>
                <c:pt idx="23">
                  <c:v>-193.22996520996094</c:v>
                </c:pt>
                <c:pt idx="24">
                  <c:v>-192.92535400390625</c:v>
                </c:pt>
                <c:pt idx="25">
                  <c:v>-193.08421325683594</c:v>
                </c:pt>
                <c:pt idx="26">
                  <c:v>-193.27755737304688</c:v>
                </c:pt>
                <c:pt idx="27">
                  <c:v>-193.18312072753906</c:v>
                </c:pt>
                <c:pt idx="28">
                  <c:v>-193.10670471191406</c:v>
                </c:pt>
                <c:pt idx="29">
                  <c:v>-201.91981506347656</c:v>
                </c:pt>
                <c:pt idx="30">
                  <c:v>-112.908203125</c:v>
                </c:pt>
                <c:pt idx="31">
                  <c:v>-192.73565673828125</c:v>
                </c:pt>
                <c:pt idx="32">
                  <c:v>-175.0601806640625</c:v>
                </c:pt>
                <c:pt idx="33">
                  <c:v>-194.33576965332031</c:v>
                </c:pt>
                <c:pt idx="34">
                  <c:v>-113.36925506591797</c:v>
                </c:pt>
                <c:pt idx="35">
                  <c:v>-193.53570556640625</c:v>
                </c:pt>
                <c:pt idx="36">
                  <c:v>-194.27473449707031</c:v>
                </c:pt>
                <c:pt idx="37">
                  <c:v>-220.53742980957031</c:v>
                </c:pt>
                <c:pt idx="38">
                  <c:v>-112.76921844482422</c:v>
                </c:pt>
                <c:pt idx="39">
                  <c:v>-203.51991271972656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14-41A7-8B6E-6E248E707FA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SecT2!$AG$41:$AG$42</c:f>
              <c:numCache>
                <c:formatCode>General</c:formatCode>
                <c:ptCount val="2"/>
                <c:pt idx="0">
                  <c:v>3054.547513983623</c:v>
                </c:pt>
                <c:pt idx="1">
                  <c:v>-3394.9961007120091</c:v>
                </c:pt>
              </c:numCache>
            </c:numRef>
          </c:xVal>
          <c:yVal>
            <c:numRef>
              <c:f>SecT2!$AD$41:$AD$42</c:f>
              <c:numCache>
                <c:formatCode>General</c:formatCode>
                <c:ptCount val="2"/>
                <c:pt idx="0">
                  <c:v>-220.51717976660581</c:v>
                </c:pt>
                <c:pt idx="1">
                  <c:v>-220.53919908650175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14-41A7-8B6E-6E248E707F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SecT2!$L$4</c:f>
              <c:numCache>
                <c:formatCode>General</c:formatCode>
                <c:ptCount val="1"/>
                <c:pt idx="0">
                  <c:v>3955.5580148447175</c:v>
                </c:pt>
              </c:numCache>
            </c:numRef>
          </c:xVal>
          <c:yVal>
            <c:numRef>
              <c:f>SecT2!$I$4</c:f>
              <c:numCache>
                <c:formatCode>General</c:formatCode>
                <c:ptCount val="1"/>
                <c:pt idx="0">
                  <c:v>-59.591736662831153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14-41A7-8B6E-6E248E707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SecT2!$AM$3:$AM$39</c:f>
              <c:numCache>
                <c:formatCode>General</c:formatCode>
                <c:ptCount val="37"/>
                <c:pt idx="0">
                  <c:v>2787.6996171434903</c:v>
                </c:pt>
                <c:pt idx="1">
                  <c:v>2741.052244665399</c:v>
                </c:pt>
                <c:pt idx="2">
                  <c:v>2633.5633587358971</c:v>
                </c:pt>
                <c:pt idx="3">
                  <c:v>2548.7136814633459</c:v>
                </c:pt>
                <c:pt idx="4">
                  <c:v>2235.8033305117065</c:v>
                </c:pt>
                <c:pt idx="5">
                  <c:v>1250.4005909809664</c:v>
                </c:pt>
                <c:pt idx="6">
                  <c:v>448.28304966349782</c:v>
                </c:pt>
                <c:pt idx="7">
                  <c:v>-151.23239988478349</c:v>
                </c:pt>
                <c:pt idx="8">
                  <c:v>-609.86097544896063</c:v>
                </c:pt>
                <c:pt idx="9">
                  <c:v>-1095.7307879890407</c:v>
                </c:pt>
                <c:pt idx="10">
                  <c:v>-1316.1570621740786</c:v>
                </c:pt>
                <c:pt idx="11">
                  <c:v>-1502.6864494216509</c:v>
                </c:pt>
                <c:pt idx="12">
                  <c:v>-1686.2175157160859</c:v>
                </c:pt>
                <c:pt idx="13">
                  <c:v>-1905.957324423706</c:v>
                </c:pt>
                <c:pt idx="14">
                  <c:v>-2207.681176027309</c:v>
                </c:pt>
                <c:pt idx="15">
                  <c:v>-2555.2101836695115</c:v>
                </c:pt>
                <c:pt idx="16">
                  <c:v>-3056.8013791214235</c:v>
                </c:pt>
                <c:pt idx="17">
                  <c:v>-3635.9775652172307</c:v>
                </c:pt>
                <c:pt idx="18">
                  <c:v>-3752.8156877736178</c:v>
                </c:pt>
                <c:pt idx="19">
                  <c:v>-3564.7801103970378</c:v>
                </c:pt>
                <c:pt idx="20">
                  <c:v>-2682.3474720738409</c:v>
                </c:pt>
                <c:pt idx="21">
                  <c:v>-2032.8162015992455</c:v>
                </c:pt>
                <c:pt idx="22">
                  <c:v>-1604.3404128076181</c:v>
                </c:pt>
                <c:pt idx="23">
                  <c:v>-1225.6885346887557</c:v>
                </c:pt>
                <c:pt idx="24">
                  <c:v>-820.08109143518902</c:v>
                </c:pt>
                <c:pt idx="25">
                  <c:v>-317.4480772243819</c:v>
                </c:pt>
                <c:pt idx="26">
                  <c:v>225.65969784705811</c:v>
                </c:pt>
                <c:pt idx="27">
                  <c:v>873.50860847345893</c:v>
                </c:pt>
                <c:pt idx="28">
                  <c:v>1585.5833923222151</c:v>
                </c:pt>
                <c:pt idx="29">
                  <c:v>2291.0843035122643</c:v>
                </c:pt>
                <c:pt idx="30">
                  <c:v>2775.987939154511</c:v>
                </c:pt>
                <c:pt idx="31">
                  <c:v>2850.4524955049014</c:v>
                </c:pt>
                <c:pt idx="32">
                  <c:v>2819.702029261568</c:v>
                </c:pt>
                <c:pt idx="33">
                  <c:v>2729.4149035134583</c:v>
                </c:pt>
                <c:pt idx="34">
                  <c:v>2727.6941350257989</c:v>
                </c:pt>
                <c:pt idx="35">
                  <c:v>2739.8753901241212</c:v>
                </c:pt>
                <c:pt idx="36">
                  <c:v>2787.6996171434903</c:v>
                </c:pt>
              </c:numCache>
            </c:numRef>
          </c:xVal>
          <c:yVal>
            <c:numRef>
              <c:f>SecT2!$AL$3:$AL$39</c:f>
              <c:numCache>
                <c:formatCode>General</c:formatCode>
                <c:ptCount val="37"/>
                <c:pt idx="0">
                  <c:v>-1034.4482201176381</c:v>
                </c:pt>
                <c:pt idx="1">
                  <c:v>-243.28448929607509</c:v>
                </c:pt>
                <c:pt idx="2">
                  <c:v>540.07344594000597</c:v>
                </c:pt>
                <c:pt idx="3">
                  <c:v>1458.1118996924581</c:v>
                </c:pt>
                <c:pt idx="4">
                  <c:v>2714.4634328728644</c:v>
                </c:pt>
                <c:pt idx="5">
                  <c:v>3351.5017159682843</c:v>
                </c:pt>
                <c:pt idx="6">
                  <c:v>3657.6014736836578</c:v>
                </c:pt>
                <c:pt idx="7">
                  <c:v>3738.0111609333981</c:v>
                </c:pt>
                <c:pt idx="8">
                  <c:v>3713.9291198673081</c:v>
                </c:pt>
                <c:pt idx="9">
                  <c:v>3748.5213059660909</c:v>
                </c:pt>
                <c:pt idx="10">
                  <c:v>3700.6563700862603</c:v>
                </c:pt>
                <c:pt idx="11">
                  <c:v>3660.8669496715734</c:v>
                </c:pt>
                <c:pt idx="12">
                  <c:v>3613.7181239354445</c:v>
                </c:pt>
                <c:pt idx="13">
                  <c:v>3597.540966095642</c:v>
                </c:pt>
                <c:pt idx="14">
                  <c:v>3663.6200539970428</c:v>
                </c:pt>
                <c:pt idx="15">
                  <c:v>3684.6170164994646</c:v>
                </c:pt>
                <c:pt idx="16">
                  <c:v>3405.7951022781872</c:v>
                </c:pt>
                <c:pt idx="17">
                  <c:v>2509.8480651012674</c:v>
                </c:pt>
                <c:pt idx="18">
                  <c:v>994.59900735523001</c:v>
                </c:pt>
                <c:pt idx="19">
                  <c:v>-503.06280995928586</c:v>
                </c:pt>
                <c:pt idx="20">
                  <c:v>-1414.0291507048378</c:v>
                </c:pt>
                <c:pt idx="21">
                  <c:v>-1861.4733192865938</c:v>
                </c:pt>
                <c:pt idx="22">
                  <c:v>-2316.3116476096452</c:v>
                </c:pt>
                <c:pt idx="23">
                  <c:v>-2723.3532939752727</c:v>
                </c:pt>
                <c:pt idx="24">
                  <c:v>-3171.5840429731679</c:v>
                </c:pt>
                <c:pt idx="25">
                  <c:v>-3796.0150300398868</c:v>
                </c:pt>
                <c:pt idx="26">
                  <c:v>-4392.6242347787838</c:v>
                </c:pt>
                <c:pt idx="27">
                  <c:v>-5046.0784206217631</c:v>
                </c:pt>
                <c:pt idx="28">
                  <c:v>-5247.9306496984645</c:v>
                </c:pt>
                <c:pt idx="29">
                  <c:v>-5048.2101167689871</c:v>
                </c:pt>
                <c:pt idx="30">
                  <c:v>-4456.2613200354281</c:v>
                </c:pt>
                <c:pt idx="31">
                  <c:v>-3777.4799434326615</c:v>
                </c:pt>
                <c:pt idx="32">
                  <c:v>-3143.8961976403343</c:v>
                </c:pt>
                <c:pt idx="33">
                  <c:v>-2553.901051611304</c:v>
                </c:pt>
                <c:pt idx="34">
                  <c:v>-2103.3840844677757</c:v>
                </c:pt>
                <c:pt idx="35">
                  <c:v>-1681.2121663890084</c:v>
                </c:pt>
                <c:pt idx="36">
                  <c:v>-1034.4482201176381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2D-46B6-A8ED-1A3C6FEF6A1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SecT2!$AQ$3:$AQ$30</c:f>
              <c:numCache>
                <c:formatCode>General</c:formatCode>
                <c:ptCount val="28"/>
                <c:pt idx="0">
                  <c:v>98.076070027512174</c:v>
                </c:pt>
                <c:pt idx="1">
                  <c:v>-80.62015109780485</c:v>
                </c:pt>
                <c:pt idx="2">
                  <c:v>-504.86801676705898</c:v>
                </c:pt>
                <c:pt idx="3">
                  <c:v>-764.20745076770447</c:v>
                </c:pt>
                <c:pt idx="4">
                  <c:v>-1012.5161869561347</c:v>
                </c:pt>
                <c:pt idx="5">
                  <c:v>-988.42727752206781</c:v>
                </c:pt>
                <c:pt idx="6">
                  <c:v>-779.05189517263852</c:v>
                </c:pt>
                <c:pt idx="7">
                  <c:v>-569.99538560010456</c:v>
                </c:pt>
                <c:pt idx="8">
                  <c:v>-404.46516057084682</c:v>
                </c:pt>
                <c:pt idx="9">
                  <c:v>-173.57494834494224</c:v>
                </c:pt>
                <c:pt idx="10">
                  <c:v>103.08256634757166</c:v>
                </c:pt>
                <c:pt idx="11">
                  <c:v>331.35763703279338</c:v>
                </c:pt>
                <c:pt idx="12">
                  <c:v>200.8050741785442</c:v>
                </c:pt>
                <c:pt idx="13">
                  <c:v>9.1951576742853342E-13</c:v>
                </c:pt>
                <c:pt idx="14">
                  <c:v>98.076070027511875</c:v>
                </c:pt>
                <c:pt idx="15">
                  <c:v>-57.688993791142408</c:v>
                </c:pt>
                <c:pt idx="16">
                  <c:v>-388.57911817593936</c:v>
                </c:pt>
                <c:pt idx="17">
                  <c:v>-561.88902393669446</c:v>
                </c:pt>
                <c:pt idx="18">
                  <c:v>-339.35717738770609</c:v>
                </c:pt>
                <c:pt idx="19">
                  <c:v>33.867380881485531</c:v>
                </c:pt>
                <c:pt idx="20">
                  <c:v>376.12956426247922</c:v>
                </c:pt>
                <c:pt idx="21">
                  <c:v>495.46509668437943</c:v>
                </c:pt>
                <c:pt idx="22">
                  <c:v>644.71702768079695</c:v>
                </c:pt>
                <c:pt idx="23">
                  <c:v>786.09272524388871</c:v>
                </c:pt>
                <c:pt idx="24">
                  <c:v>658.08234971810396</c:v>
                </c:pt>
                <c:pt idx="25">
                  <c:v>454.87426108648015</c:v>
                </c:pt>
                <c:pt idx="26">
                  <c:v>286.87614767716519</c:v>
                </c:pt>
                <c:pt idx="27">
                  <c:v>1.6611852602614653E-12</c:v>
                </c:pt>
              </c:numCache>
            </c:numRef>
          </c:xVal>
          <c:yVal>
            <c:numRef>
              <c:f>SecT2!$AP$3:$AP$30</c:f>
              <c:numCache>
                <c:formatCode>General</c:formatCode>
                <c:ptCount val="28"/>
                <c:pt idx="0">
                  <c:v>-81.730058356260443</c:v>
                </c:pt>
                <c:pt idx="1">
                  <c:v>660.01612272388866</c:v>
                </c:pt>
                <c:pt idx="2">
                  <c:v>2475.6372331455045</c:v>
                </c:pt>
                <c:pt idx="3">
                  <c:v>3562.3359602537812</c:v>
                </c:pt>
                <c:pt idx="4">
                  <c:v>4585.7562032299056</c:v>
                </c:pt>
                <c:pt idx="5">
                  <c:v>4417.0465271301973</c:v>
                </c:pt>
                <c:pt idx="6">
                  <c:v>3974.9753066243002</c:v>
                </c:pt>
                <c:pt idx="7">
                  <c:v>3714.3013083964597</c:v>
                </c:pt>
                <c:pt idx="8">
                  <c:v>3555.8157637018026</c:v>
                </c:pt>
                <c:pt idx="9">
                  <c:v>3266.7531779568308</c:v>
                </c:pt>
                <c:pt idx="10">
                  <c:v>2719.3783552611567</c:v>
                </c:pt>
                <c:pt idx="11">
                  <c:v>1786.3897848470856</c:v>
                </c:pt>
                <c:pt idx="12">
                  <c:v>1260.2237040730604</c:v>
                </c:pt>
                <c:pt idx="13">
                  <c:v>-7.0690839428146712E-13</c:v>
                </c:pt>
                <c:pt idx="14">
                  <c:v>-81.730058356260329</c:v>
                </c:pt>
                <c:pt idx="15">
                  <c:v>-745.03057918759418</c:v>
                </c:pt>
                <c:pt idx="16">
                  <c:v>-2292.7854619951186</c:v>
                </c:pt>
                <c:pt idx="17">
                  <c:v>-3206.3825854652487</c:v>
                </c:pt>
                <c:pt idx="18">
                  <c:v>-4419.9083995661204</c:v>
                </c:pt>
                <c:pt idx="19">
                  <c:v>-4388.4760802611263</c:v>
                </c:pt>
                <c:pt idx="20">
                  <c:v>-4070.5609256344237</c:v>
                </c:pt>
                <c:pt idx="21">
                  <c:v>-3804.6086441695365</c:v>
                </c:pt>
                <c:pt idx="22">
                  <c:v>-3599.7688456719811</c:v>
                </c:pt>
                <c:pt idx="23">
                  <c:v>-3279.1164334512441</c:v>
                </c:pt>
                <c:pt idx="24">
                  <c:v>-2832.3658228151489</c:v>
                </c:pt>
                <c:pt idx="25">
                  <c:v>-2132.7233499881536</c:v>
                </c:pt>
                <c:pt idx="26">
                  <c:v>-1467.8859262861724</c:v>
                </c:pt>
                <c:pt idx="27">
                  <c:v>-7.6404819441383903E-13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2D-46B6-A8ED-1A3C6FEF6A1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SecT2!$S$3:$S$42</c:f>
              <c:numCache>
                <c:formatCode>General</c:formatCode>
                <c:ptCount val="40"/>
                <c:pt idx="0">
                  <c:v>746.16998291015625</c:v>
                </c:pt>
                <c:pt idx="1">
                  <c:v>1161.10400390625</c:v>
                </c:pt>
                <c:pt idx="2">
                  <c:v>17.301162719726563</c:v>
                </c:pt>
                <c:pt idx="3">
                  <c:v>17.845218658447266</c:v>
                </c:pt>
                <c:pt idx="4">
                  <c:v>39.045375823974609</c:v>
                </c:pt>
                <c:pt idx="5">
                  <c:v>26.148242950439453</c:v>
                </c:pt>
                <c:pt idx="6">
                  <c:v>26.592620849609375</c:v>
                </c:pt>
                <c:pt idx="7">
                  <c:v>27.013982772827148</c:v>
                </c:pt>
                <c:pt idx="8">
                  <c:v>25.492536544799805</c:v>
                </c:pt>
                <c:pt idx="9">
                  <c:v>18.138359069824219</c:v>
                </c:pt>
                <c:pt idx="10">
                  <c:v>25.297758102416992</c:v>
                </c:pt>
                <c:pt idx="11">
                  <c:v>25.719120025634766</c:v>
                </c:pt>
                <c:pt idx="12">
                  <c:v>21.481056213378906</c:v>
                </c:pt>
                <c:pt idx="13">
                  <c:v>16.033361434936523</c:v>
                </c:pt>
                <c:pt idx="14">
                  <c:v>1156.1134033203125</c:v>
                </c:pt>
                <c:pt idx="15">
                  <c:v>17.264860153198242</c:v>
                </c:pt>
                <c:pt idx="16">
                  <c:v>10.07670783996582</c:v>
                </c:pt>
                <c:pt idx="17">
                  <c:v>20.825349807739258</c:v>
                </c:pt>
                <c:pt idx="18">
                  <c:v>13.63719654083252</c:v>
                </c:pt>
                <c:pt idx="19">
                  <c:v>14.868695259094238</c:v>
                </c:pt>
                <c:pt idx="20">
                  <c:v>9.4210004806518555</c:v>
                </c:pt>
                <c:pt idx="21">
                  <c:v>5.1829361915588379</c:v>
                </c:pt>
                <c:pt idx="22">
                  <c:v>5.6043000221252441</c:v>
                </c:pt>
                <c:pt idx="23">
                  <c:v>12.763696670532227</c:v>
                </c:pt>
                <c:pt idx="24">
                  <c:v>5.4095206260681152</c:v>
                </c:pt>
                <c:pt idx="25">
                  <c:v>3.8880734443664551</c:v>
                </c:pt>
                <c:pt idx="26">
                  <c:v>4.3094367980957031</c:v>
                </c:pt>
                <c:pt idx="27">
                  <c:v>4.7538132667541504</c:v>
                </c:pt>
                <c:pt idx="28">
                  <c:v>-8.1433172225952148</c:v>
                </c:pt>
                <c:pt idx="29">
                  <c:v>13.056838989257813</c:v>
                </c:pt>
                <c:pt idx="30">
                  <c:v>739.99456787109375</c:v>
                </c:pt>
                <c:pt idx="31">
                  <c:v>-715.2679443359375</c:v>
                </c:pt>
                <c:pt idx="32">
                  <c:v>14.428714752197266</c:v>
                </c:pt>
                <c:pt idx="33">
                  <c:v>-1137.40185546875</c:v>
                </c:pt>
                <c:pt idx="34">
                  <c:v>-1142.3924560546875</c:v>
                </c:pt>
                <c:pt idx="35">
                  <c:v>-933.41748046875</c:v>
                </c:pt>
                <c:pt idx="36">
                  <c:v>960.7196044921875</c:v>
                </c:pt>
                <c:pt idx="37">
                  <c:v>13.473413467407227</c:v>
                </c:pt>
                <c:pt idx="38">
                  <c:v>-939.00054931640625</c:v>
                </c:pt>
                <c:pt idx="39">
                  <c:v>352.15841674804688</c:v>
                </c:pt>
              </c:numCache>
            </c:numRef>
          </c:xVal>
          <c:yVal>
            <c:numRef>
              <c:f>SecT2!$R$3:$R$42</c:f>
              <c:numCache>
                <c:formatCode>General</c:formatCode>
                <c:ptCount val="40"/>
                <c:pt idx="0">
                  <c:v>1899.5633544921875</c:v>
                </c:pt>
                <c:pt idx="1">
                  <c:v>-1394.5313720703125</c:v>
                </c:pt>
                <c:pt idx="2">
                  <c:v>1772.7008056640625</c:v>
                </c:pt>
                <c:pt idx="3">
                  <c:v>1676.9306640625</c:v>
                </c:pt>
                <c:pt idx="4">
                  <c:v>1509.0343017578125</c:v>
                </c:pt>
                <c:pt idx="5">
                  <c:v>1504.3433837890625</c:v>
                </c:pt>
                <c:pt idx="6">
                  <c:v>1502.942626953125</c:v>
                </c:pt>
                <c:pt idx="7">
                  <c:v>1501.9039306640625</c:v>
                </c:pt>
                <c:pt idx="8">
                  <c:v>1500.7325439453125</c:v>
                </c:pt>
                <c:pt idx="9">
                  <c:v>1499.5281982421875</c:v>
                </c:pt>
                <c:pt idx="10">
                  <c:v>1499.1710205078125</c:v>
                </c:pt>
                <c:pt idx="11">
                  <c:v>1498.1324462890625</c:v>
                </c:pt>
                <c:pt idx="12">
                  <c:v>1496.823486328125</c:v>
                </c:pt>
                <c:pt idx="13">
                  <c:v>1496.6875</c:v>
                </c:pt>
                <c:pt idx="14">
                  <c:v>-1057.4520263671875</c:v>
                </c:pt>
                <c:pt idx="15">
                  <c:v>1494.718017578125</c:v>
                </c:pt>
                <c:pt idx="16">
                  <c:v>1493.7489013671875</c:v>
                </c:pt>
                <c:pt idx="17">
                  <c:v>1493.212646484375</c:v>
                </c:pt>
                <c:pt idx="18">
                  <c:v>1492.2435302734375</c:v>
                </c:pt>
                <c:pt idx="19">
                  <c:v>1490.27392578125</c:v>
                </c:pt>
                <c:pt idx="20">
                  <c:v>1490.1380615234375</c:v>
                </c:pt>
                <c:pt idx="21">
                  <c:v>1488.8291015625</c:v>
                </c:pt>
                <c:pt idx="22">
                  <c:v>1487.79052734375</c:v>
                </c:pt>
                <c:pt idx="23">
                  <c:v>1487.433349609375</c:v>
                </c:pt>
                <c:pt idx="24">
                  <c:v>1486.22900390625</c:v>
                </c:pt>
                <c:pt idx="25">
                  <c:v>1485.0576171875</c:v>
                </c:pt>
                <c:pt idx="26">
                  <c:v>1484.0189208984375</c:v>
                </c:pt>
                <c:pt idx="27">
                  <c:v>1482.6181640625</c:v>
                </c:pt>
                <c:pt idx="28">
                  <c:v>1477.9271240234375</c:v>
                </c:pt>
                <c:pt idx="29">
                  <c:v>1310.0308837890625</c:v>
                </c:pt>
                <c:pt idx="30">
                  <c:v>1177.1680908203125</c:v>
                </c:pt>
                <c:pt idx="31">
                  <c:v>1087.398193359375</c:v>
                </c:pt>
                <c:pt idx="32">
                  <c:v>1199.4664306640625</c:v>
                </c:pt>
                <c:pt idx="33">
                  <c:v>-0.28983169794082642</c:v>
                </c:pt>
                <c:pt idx="34">
                  <c:v>336.78948974609375</c:v>
                </c:pt>
                <c:pt idx="35">
                  <c:v>544.88232421875</c:v>
                </c:pt>
                <c:pt idx="36">
                  <c:v>251.18789672851563</c:v>
                </c:pt>
                <c:pt idx="37">
                  <c:v>-827.5919189453125</c:v>
                </c:pt>
                <c:pt idx="38">
                  <c:v>352.224365234375</c:v>
                </c:pt>
                <c:pt idx="39">
                  <c:v>-733.01385498046875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2D-46B6-A8ED-1A3C6FEF6A1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SecT2!$AG$3:$AG$39</c:f>
              <c:numCache>
                <c:formatCode>General</c:formatCode>
                <c:ptCount val="37"/>
                <c:pt idx="0">
                  <c:v>2348.9938289338033</c:v>
                </c:pt>
                <c:pt idx="1">
                  <c:v>2272.4905239771715</c:v>
                </c:pt>
                <c:pt idx="2">
                  <c:v>2092.0364382446119</c:v>
                </c:pt>
                <c:pt idx="3">
                  <c:v>1887.9674934183527</c:v>
                </c:pt>
                <c:pt idx="4">
                  <c:v>1636.1689331197033</c:v>
                </c:pt>
                <c:pt idx="5">
                  <c:v>1267.6628145322973</c:v>
                </c:pt>
                <c:pt idx="6">
                  <c:v>826.2854747849583</c:v>
                </c:pt>
                <c:pt idx="7">
                  <c:v>327.11167065154086</c:v>
                </c:pt>
                <c:pt idx="8">
                  <c:v>-134.89554345065181</c:v>
                </c:pt>
                <c:pt idx="9">
                  <c:v>-568.29384209292709</c:v>
                </c:pt>
                <c:pt idx="10">
                  <c:v>-977.91844541835417</c:v>
                </c:pt>
                <c:pt idx="11">
                  <c:v>-1380.4660846515858</c:v>
                </c:pt>
                <c:pt idx="12">
                  <c:v>-1722.8360759296793</c:v>
                </c:pt>
                <c:pt idx="13">
                  <c:v>-1991.5746043420077</c:v>
                </c:pt>
                <c:pt idx="14">
                  <c:v>-2251.2182205537097</c:v>
                </c:pt>
                <c:pt idx="15">
                  <c:v>-2488.2292918568869</c:v>
                </c:pt>
                <c:pt idx="16">
                  <c:v>-2728.7034895490888</c:v>
                </c:pt>
                <c:pt idx="17">
                  <c:v>-3165.8850850346107</c:v>
                </c:pt>
                <c:pt idx="18">
                  <c:v>-3863.6644221115816</c:v>
                </c:pt>
                <c:pt idx="19">
                  <c:v>-2895.2039246018012</c:v>
                </c:pt>
                <c:pt idx="20">
                  <c:v>-2474.9450513989768</c:v>
                </c:pt>
                <c:pt idx="21">
                  <c:v>-2030.9720267040309</c:v>
                </c:pt>
                <c:pt idx="22">
                  <c:v>-1490.701586184377</c:v>
                </c:pt>
                <c:pt idx="23">
                  <c:v>-908.06924558416404</c:v>
                </c:pt>
                <c:pt idx="24">
                  <c:v>-318.98235512167872</c:v>
                </c:pt>
                <c:pt idx="25">
                  <c:v>204.38353732486354</c:v>
                </c:pt>
                <c:pt idx="26">
                  <c:v>695.3759017352761</c:v>
                </c:pt>
                <c:pt idx="27">
                  <c:v>1222.0417673297434</c:v>
                </c:pt>
                <c:pt idx="28">
                  <c:v>1436.6221085576487</c:v>
                </c:pt>
                <c:pt idx="29">
                  <c:v>1572.4902032720283</c:v>
                </c:pt>
                <c:pt idx="30">
                  <c:v>1669.9065378852672</c:v>
                </c:pt>
                <c:pt idx="31">
                  <c:v>1767.7713746586617</c:v>
                </c:pt>
                <c:pt idx="32">
                  <c:v>1853.6746310053761</c:v>
                </c:pt>
                <c:pt idx="33">
                  <c:v>1949.1574116008064</c:v>
                </c:pt>
                <c:pt idx="34">
                  <c:v>2110.3796266630079</c:v>
                </c:pt>
                <c:pt idx="35">
                  <c:v>2278.6416887625928</c:v>
                </c:pt>
                <c:pt idx="36">
                  <c:v>2348.9938289338033</c:v>
                </c:pt>
              </c:numCache>
            </c:numRef>
          </c:xVal>
          <c:yVal>
            <c:numRef>
              <c:f>SecT2!$AF$3:$AF$39</c:f>
              <c:numCache>
                <c:formatCode>General</c:formatCode>
                <c:ptCount val="37"/>
                <c:pt idx="0">
                  <c:v>-687.32361203873154</c:v>
                </c:pt>
                <c:pt idx="1">
                  <c:v>163.0000023284976</c:v>
                </c:pt>
                <c:pt idx="2">
                  <c:v>1020.5346676982407</c:v>
                </c:pt>
                <c:pt idx="3">
                  <c:v>1720.5294089028762</c:v>
                </c:pt>
                <c:pt idx="4">
                  <c:v>2286.1764742779951</c:v>
                </c:pt>
                <c:pt idx="5">
                  <c:v>2602.7834133698902</c:v>
                </c:pt>
                <c:pt idx="6">
                  <c:v>2841.7943191982631</c:v>
                </c:pt>
                <c:pt idx="7">
                  <c:v>3027.0575346226387</c:v>
                </c:pt>
                <c:pt idx="8">
                  <c:v>3136.6141993828955</c:v>
                </c:pt>
                <c:pt idx="9">
                  <c:v>3176.0156601647554</c:v>
                </c:pt>
                <c:pt idx="10">
                  <c:v>3108.1556124131075</c:v>
                </c:pt>
                <c:pt idx="11">
                  <c:v>2981.5031694155659</c:v>
                </c:pt>
                <c:pt idx="12">
                  <c:v>2829.1019388827999</c:v>
                </c:pt>
                <c:pt idx="13">
                  <c:v>2674.9868360813462</c:v>
                </c:pt>
                <c:pt idx="14">
                  <c:v>2493.4239074471006</c:v>
                </c:pt>
                <c:pt idx="15">
                  <c:v>2277.3714026783332</c:v>
                </c:pt>
                <c:pt idx="16">
                  <c:v>2053.9735740371043</c:v>
                </c:pt>
                <c:pt idx="17">
                  <c:v>1919.2151823614749</c:v>
                </c:pt>
                <c:pt idx="18">
                  <c:v>1261.2559689785894</c:v>
                </c:pt>
                <c:pt idx="19">
                  <c:v>281.70602548416076</c:v>
                </c:pt>
                <c:pt idx="20">
                  <c:v>-477.12573499671777</c:v>
                </c:pt>
                <c:pt idx="21">
                  <c:v>-1183.7876483694552</c:v>
                </c:pt>
                <c:pt idx="22">
                  <c:v>-1896.2921245564103</c:v>
                </c:pt>
                <c:pt idx="23">
                  <c:v>-2505.6440687369841</c:v>
                </c:pt>
                <c:pt idx="24">
                  <c:v>-2980.6322063585717</c:v>
                </c:pt>
                <c:pt idx="25">
                  <c:v>-3329.1242434168162</c:v>
                </c:pt>
                <c:pt idx="26">
                  <c:v>-3608.9752398737023</c:v>
                </c:pt>
                <c:pt idx="27">
                  <c:v>-3868.645750731559</c:v>
                </c:pt>
                <c:pt idx="28">
                  <c:v>-3876.1011791458877</c:v>
                </c:pt>
                <c:pt idx="29">
                  <c:v>-3817.1151069685266</c:v>
                </c:pt>
                <c:pt idx="30">
                  <c:v>-3596.5382539641464</c:v>
                </c:pt>
                <c:pt idx="31">
                  <c:v>-3364.1685831346572</c:v>
                </c:pt>
                <c:pt idx="32">
                  <c:v>-3102.7996203449238</c:v>
                </c:pt>
                <c:pt idx="33">
                  <c:v>-2787.7444053077847</c:v>
                </c:pt>
                <c:pt idx="34">
                  <c:v>-2266.8173367169961</c:v>
                </c:pt>
                <c:pt idx="35">
                  <c:v>-1499.1884500126075</c:v>
                </c:pt>
                <c:pt idx="36">
                  <c:v>-687.32361203873154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2D-46B6-A8ED-1A3C6FEF6A1B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SecT2!$K$4</c:f>
              <c:numCache>
                <c:formatCode>General</c:formatCode>
                <c:ptCount val="1"/>
                <c:pt idx="0">
                  <c:v>-892.90840746757829</c:v>
                </c:pt>
              </c:numCache>
            </c:numRef>
          </c:xVal>
          <c:yVal>
            <c:numRef>
              <c:f>SecT2!$J$4</c:f>
              <c:numCache>
                <c:formatCode>General</c:formatCode>
                <c:ptCount val="1"/>
                <c:pt idx="0">
                  <c:v>4202.7818149855366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2D-46B6-A8ED-1A3C6FEF6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SecT3!$C$45:$C$53</c:f>
              <c:numCache>
                <c:formatCode>General</c:formatCode>
                <c:ptCount val="9"/>
                <c:pt idx="0">
                  <c:v>-24.999999999999996</c:v>
                </c:pt>
                <c:pt idx="1">
                  <c:v>25.000000000000004</c:v>
                </c:pt>
                <c:pt idx="2">
                  <c:v>25.000000000000004</c:v>
                </c:pt>
                <c:pt idx="3">
                  <c:v>12.500000000000004</c:v>
                </c:pt>
                <c:pt idx="4">
                  <c:v>12.500000000000004</c:v>
                </c:pt>
                <c:pt idx="5">
                  <c:v>-12.499999999999996</c:v>
                </c:pt>
                <c:pt idx="6">
                  <c:v>-12.499999999999996</c:v>
                </c:pt>
                <c:pt idx="7">
                  <c:v>-24.999999999999996</c:v>
                </c:pt>
                <c:pt idx="8">
                  <c:v>-24.999999999999996</c:v>
                </c:pt>
              </c:numCache>
            </c:numRef>
          </c:xVal>
          <c:yVal>
            <c:numRef>
              <c:f>SecT3!$D$45:$D$53</c:f>
              <c:numCache>
                <c:formatCode>General</c:formatCode>
                <c:ptCount val="9"/>
                <c:pt idx="0">
                  <c:v>-22.719349134514118</c:v>
                </c:pt>
                <c:pt idx="1">
                  <c:v>-22.719349134514118</c:v>
                </c:pt>
                <c:pt idx="2">
                  <c:v>2.2806508654858817</c:v>
                </c:pt>
                <c:pt idx="3">
                  <c:v>2.2806508654858817</c:v>
                </c:pt>
                <c:pt idx="4">
                  <c:v>32.280650865485882</c:v>
                </c:pt>
                <c:pt idx="5">
                  <c:v>32.280650865485882</c:v>
                </c:pt>
                <c:pt idx="6">
                  <c:v>2.2806508654858817</c:v>
                </c:pt>
                <c:pt idx="7">
                  <c:v>2.2806508654858817</c:v>
                </c:pt>
                <c:pt idx="8">
                  <c:v>-22.719349134514118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E7-4D5F-B51D-C5AB57B6A075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SecT3!$J$45:$J$55</c:f>
              <c:numCache>
                <c:formatCode>General</c:formatCode>
                <c:ptCount val="11"/>
                <c:pt idx="0">
                  <c:v>-24.999999999999996</c:v>
                </c:pt>
                <c:pt idx="1">
                  <c:v>-0.69377117946549083</c:v>
                </c:pt>
                <c:pt idx="2">
                  <c:v>9.9846253731158257</c:v>
                </c:pt>
                <c:pt idx="3">
                  <c:v>-12.499999999999996</c:v>
                </c:pt>
                <c:pt idx="4">
                  <c:v>-12.499999999999996</c:v>
                </c:pt>
                <c:pt idx="5">
                  <c:v>-24.999999999999993</c:v>
                </c:pt>
                <c:pt idx="6">
                  <c:v>-24.999999999999996</c:v>
                </c:pt>
                <c:pt idx="7">
                  <c:v>-24.999999999999996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SecT3!$K$45:$K$55</c:f>
              <c:numCache>
                <c:formatCode>General</c:formatCode>
                <c:ptCount val="11"/>
                <c:pt idx="0">
                  <c:v>-22.719349134514115</c:v>
                </c:pt>
                <c:pt idx="1">
                  <c:v>-22.719349134514111</c:v>
                </c:pt>
                <c:pt idx="2">
                  <c:v>32.280650865485882</c:v>
                </c:pt>
                <c:pt idx="3">
                  <c:v>32.280650865485875</c:v>
                </c:pt>
                <c:pt idx="4">
                  <c:v>2.2806508654858817</c:v>
                </c:pt>
                <c:pt idx="5">
                  <c:v>2.2806508654858813</c:v>
                </c:pt>
                <c:pt idx="6">
                  <c:v>-22.719349134514115</c:v>
                </c:pt>
                <c:pt idx="7">
                  <c:v>-22.719349134514115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7-4D5F-B51D-C5AB57B6A075}"/>
            </c:ext>
          </c:extLst>
        </c:ser>
        <c:ser>
          <c:idx val="3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SecT3!$Z$45:$Z$72</c:f>
              <c:numCache>
                <c:formatCode>General</c:formatCode>
                <c:ptCount val="28"/>
                <c:pt idx="0">
                  <c:v>-19.999999999999996</c:v>
                </c:pt>
                <c:pt idx="1">
                  <c:v>-7.4999999999999964</c:v>
                </c:pt>
                <c:pt idx="2">
                  <c:v>7.5000000000000036</c:v>
                </c:pt>
                <c:pt idx="3">
                  <c:v>20.000000000000004</c:v>
                </c:pt>
                <c:pt idx="4">
                  <c:v>20.000000000000004</c:v>
                </c:pt>
                <c:pt idx="5">
                  <c:v>7.5000000000000036</c:v>
                </c:pt>
                <c:pt idx="6">
                  <c:v>7.5000000000000036</c:v>
                </c:pt>
                <c:pt idx="7">
                  <c:v>-7.4999999999999964</c:v>
                </c:pt>
                <c:pt idx="8">
                  <c:v>-7.4999999999999964</c:v>
                </c:pt>
                <c:pt idx="9">
                  <c:v>-19.999999999999996</c:v>
                </c:pt>
                <c:pt idx="10">
                  <c:v>7.5000000000000036</c:v>
                </c:pt>
                <c:pt idx="11">
                  <c:v>-7.4999999999999964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xVal>
          <c:yVal>
            <c:numRef>
              <c:f>SecT3!$AA$45:$AA$72</c:f>
              <c:numCache>
                <c:formatCode>General</c:formatCode>
                <c:ptCount val="28"/>
                <c:pt idx="0">
                  <c:v>-17.719349134514118</c:v>
                </c:pt>
                <c:pt idx="1">
                  <c:v>-17.719349134514118</c:v>
                </c:pt>
                <c:pt idx="2">
                  <c:v>-17.719349134514118</c:v>
                </c:pt>
                <c:pt idx="3">
                  <c:v>-17.719349134514118</c:v>
                </c:pt>
                <c:pt idx="4">
                  <c:v>-2.7193491345141183</c:v>
                </c:pt>
                <c:pt idx="5">
                  <c:v>-2.7193491345141183</c:v>
                </c:pt>
                <c:pt idx="6">
                  <c:v>27.280650865485882</c:v>
                </c:pt>
                <c:pt idx="7">
                  <c:v>27.280650865485882</c:v>
                </c:pt>
                <c:pt idx="8">
                  <c:v>-2.7193491345141183</c:v>
                </c:pt>
                <c:pt idx="9">
                  <c:v>-2.7193491345141183</c:v>
                </c:pt>
                <c:pt idx="10">
                  <c:v>12.280650865485882</c:v>
                </c:pt>
                <c:pt idx="11">
                  <c:v>12.280650865485882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E7-4D5F-B51D-C5AB57B6A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  <c:majorUnit val="10"/>
        <c:minorUnit val="5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SecT3!$AM$41:$AM$42</c:f>
              <c:numCache>
                <c:formatCode>General</c:formatCode>
                <c:ptCount val="2"/>
                <c:pt idx="0">
                  <c:v>2237.9468799646229</c:v>
                </c:pt>
                <c:pt idx="1">
                  <c:v>-1925.616469818267</c:v>
                </c:pt>
              </c:numCache>
            </c:numRef>
          </c:xVal>
          <c:yVal>
            <c:numRef>
              <c:f>SecT3!$AJ$41:$AJ$42</c:f>
              <c:numCache>
                <c:formatCode>General</c:formatCode>
                <c:ptCount val="2"/>
                <c:pt idx="0">
                  <c:v>-112.77946332011766</c:v>
                </c:pt>
                <c:pt idx="1">
                  <c:v>-112.75942543752393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AD-439C-AE0B-F297500BF54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SecT3!$AR$3:$AR$30</c:f>
              <c:numCache>
                <c:formatCode>General</c:formatCode>
                <c:ptCount val="28"/>
                <c:pt idx="0">
                  <c:v>5.957544066343317</c:v>
                </c:pt>
                <c:pt idx="1">
                  <c:v>349.71901116946782</c:v>
                </c:pt>
                <c:pt idx="2">
                  <c:v>1138.3805484991658</c:v>
                </c:pt>
                <c:pt idx="3">
                  <c:v>1769.538013845405</c:v>
                </c:pt>
                <c:pt idx="4">
                  <c:v>2470.591774989894</c:v>
                </c:pt>
                <c:pt idx="5">
                  <c:v>2416.1024055673151</c:v>
                </c:pt>
                <c:pt idx="6">
                  <c:v>2209.6861819023488</c:v>
                </c:pt>
                <c:pt idx="7">
                  <c:v>2059.004430862778</c:v>
                </c:pt>
                <c:pt idx="8">
                  <c:v>1939.4893288427529</c:v>
                </c:pt>
                <c:pt idx="9">
                  <c:v>1749.6360184181713</c:v>
                </c:pt>
                <c:pt idx="10">
                  <c:v>1460.9776475065839</c:v>
                </c:pt>
                <c:pt idx="11">
                  <c:v>1117.5346828657989</c:v>
                </c:pt>
                <c:pt idx="12">
                  <c:v>811.53128515980609</c:v>
                </c:pt>
                <c:pt idx="13">
                  <c:v>3.4638958368304884E-13</c:v>
                </c:pt>
                <c:pt idx="14">
                  <c:v>5.9575440663434209</c:v>
                </c:pt>
                <c:pt idx="15">
                  <c:v>-321.50594063351167</c:v>
                </c:pt>
                <c:pt idx="16">
                  <c:v>-1149.2949407226156</c:v>
                </c:pt>
                <c:pt idx="17">
                  <c:v>-1682.2179863107608</c:v>
                </c:pt>
                <c:pt idx="18">
                  <c:v>-2239.1828174170992</c:v>
                </c:pt>
                <c:pt idx="19">
                  <c:v>-2199.3188368765277</c:v>
                </c:pt>
                <c:pt idx="20">
                  <c:v>-2088.1620652919432</c:v>
                </c:pt>
                <c:pt idx="21">
                  <c:v>-1986.2373130331716</c:v>
                </c:pt>
                <c:pt idx="22">
                  <c:v>-1932.673601413079</c:v>
                </c:pt>
                <c:pt idx="23">
                  <c:v>-1825.7328182625822</c:v>
                </c:pt>
                <c:pt idx="24">
                  <c:v>-1609.7577274040846</c:v>
                </c:pt>
                <c:pt idx="25">
                  <c:v>-1168.2550090307641</c:v>
                </c:pt>
                <c:pt idx="26">
                  <c:v>-763.0694320539202</c:v>
                </c:pt>
                <c:pt idx="27">
                  <c:v>3.5527136788005151E-15</c:v>
                </c:pt>
              </c:numCache>
            </c:numRef>
          </c:xVal>
          <c:yVal>
            <c:numRef>
              <c:f>SecT3!$AO$3:$AO$30</c:f>
              <c:numCache>
                <c:formatCode>General</c:formatCode>
                <c:ptCount val="28"/>
                <c:pt idx="0">
                  <c:v>142.50263629535158</c:v>
                </c:pt>
                <c:pt idx="1">
                  <c:v>120.49497060625274</c:v>
                </c:pt>
                <c:pt idx="2">
                  <c:v>70.567705511172761</c:v>
                </c:pt>
                <c:pt idx="3">
                  <c:v>24.911027621690707</c:v>
                </c:pt>
                <c:pt idx="4">
                  <c:v>-37.445792658697982</c:v>
                </c:pt>
                <c:pt idx="5">
                  <c:v>-75.780774891590596</c:v>
                </c:pt>
                <c:pt idx="6">
                  <c:v>-117.39462630427629</c:v>
                </c:pt>
                <c:pt idx="7">
                  <c:v>-134.66498876921236</c:v>
                </c:pt>
                <c:pt idx="8">
                  <c:v>-164.73987543134336</c:v>
                </c:pt>
                <c:pt idx="9">
                  <c:v>-199.23392725263926</c:v>
                </c:pt>
                <c:pt idx="10">
                  <c:v>-234.99870011327204</c:v>
                </c:pt>
                <c:pt idx="11">
                  <c:v>-264.4756192782242</c:v>
                </c:pt>
                <c:pt idx="12">
                  <c:v>-264.4756192782242</c:v>
                </c:pt>
                <c:pt idx="13">
                  <c:v>-264.4756192782242</c:v>
                </c:pt>
                <c:pt idx="14">
                  <c:v>142.50263629535158</c:v>
                </c:pt>
                <c:pt idx="15">
                  <c:v>127.11593015115048</c:v>
                </c:pt>
                <c:pt idx="16">
                  <c:v>86.886517547599709</c:v>
                </c:pt>
                <c:pt idx="17">
                  <c:v>55.116733615181161</c:v>
                </c:pt>
                <c:pt idx="18">
                  <c:v>15.894877127432387</c:v>
                </c:pt>
                <c:pt idx="19">
                  <c:v>-12.089310009261574</c:v>
                </c:pt>
                <c:pt idx="20">
                  <c:v>-54.779548511194378</c:v>
                </c:pt>
                <c:pt idx="21">
                  <c:v>-77.422175064034448</c:v>
                </c:pt>
                <c:pt idx="22">
                  <c:v>-109.54091060462486</c:v>
                </c:pt>
                <c:pt idx="23">
                  <c:v>-146.44331458063269</c:v>
                </c:pt>
                <c:pt idx="24">
                  <c:v>-189.29430829118721</c:v>
                </c:pt>
                <c:pt idx="25">
                  <c:v>-241.25043809833971</c:v>
                </c:pt>
                <c:pt idx="26">
                  <c:v>-264.4756192782242</c:v>
                </c:pt>
                <c:pt idx="27">
                  <c:v>-264.4756192782242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AD-439C-AE0B-F297500BF54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SecT3!$U$3:$U$42</c:f>
              <c:numCache>
                <c:formatCode>General</c:formatCode>
                <c:ptCount val="40"/>
                <c:pt idx="0">
                  <c:v>2006.9577551076375</c:v>
                </c:pt>
                <c:pt idx="1">
                  <c:v>-1147.6691845551568</c:v>
                </c:pt>
                <c:pt idx="2">
                  <c:v>1743.5029488142268</c:v>
                </c:pt>
                <c:pt idx="3">
                  <c:v>1649.5920616798983</c:v>
                </c:pt>
                <c:pt idx="4">
                  <c:v>1488.8140202210068</c:v>
                </c:pt>
                <c:pt idx="5">
                  <c:v>1481.7509796927395</c:v>
                </c:pt>
                <c:pt idx="6">
                  <c:v>1480.4605957149981</c:v>
                </c:pt>
                <c:pt idx="7">
                  <c:v>1479.5212486593398</c:v>
                </c:pt>
                <c:pt idx="8">
                  <c:v>1478.0813566128252</c:v>
                </c:pt>
                <c:pt idx="9">
                  <c:v>1475.4974281834438</c:v>
                </c:pt>
                <c:pt idx="10">
                  <c:v>1476.511333899912</c:v>
                </c:pt>
                <c:pt idx="11">
                  <c:v>1475.5721066768972</c:v>
                </c:pt>
                <c:pt idx="12">
                  <c:v>1473.4793931653971</c:v>
                </c:pt>
                <c:pt idx="13">
                  <c:v>1472.3076035392669</c:v>
                </c:pt>
                <c:pt idx="14">
                  <c:v>-817.72001148467803</c:v>
                </c:pt>
                <c:pt idx="15">
                  <c:v>1470.6089395088713</c:v>
                </c:pt>
                <c:pt idx="16">
                  <c:v>1468.2875719262652</c:v>
                </c:pt>
                <c:pt idx="17">
                  <c:v>1469.8097700854826</c:v>
                </c:pt>
                <c:pt idx="18">
                  <c:v>1467.4884023211123</c:v>
                </c:pt>
                <c:pt idx="19">
                  <c:v>1465.7896184580727</c:v>
                </c:pt>
                <c:pt idx="20">
                  <c:v>1464.6179486645865</c:v>
                </c:pt>
                <c:pt idx="21">
                  <c:v>1462.5252350622043</c:v>
                </c:pt>
                <c:pt idx="22">
                  <c:v>1461.5860082027182</c:v>
                </c:pt>
                <c:pt idx="23">
                  <c:v>1462.5999134647755</c:v>
                </c:pt>
                <c:pt idx="24">
                  <c:v>1460.0159853080406</c:v>
                </c:pt>
                <c:pt idx="25">
                  <c:v>1458.5760930797619</c:v>
                </c:pt>
                <c:pt idx="26">
                  <c:v>1457.6367462967498</c:v>
                </c:pt>
                <c:pt idx="27">
                  <c:v>1456.3463620463619</c:v>
                </c:pt>
                <c:pt idx="28">
                  <c:v>1449.2832021398619</c:v>
                </c:pt>
                <c:pt idx="29">
                  <c:v>1288.5052803318495</c:v>
                </c:pt>
                <c:pt idx="30">
                  <c:v>1296.6277119552099</c:v>
                </c:pt>
                <c:pt idx="31">
                  <c:v>931.13958326882494</c:v>
                </c:pt>
                <c:pt idx="32">
                  <c:v>1180.2290531564124</c:v>
                </c:pt>
                <c:pt idx="33">
                  <c:v>-217.06609604352312</c:v>
                </c:pt>
                <c:pt idx="34">
                  <c:v>112.8830532125582</c:v>
                </c:pt>
                <c:pt idx="35">
                  <c:v>356.99064590702119</c:v>
                </c:pt>
                <c:pt idx="36">
                  <c:v>429.69043680744994</c:v>
                </c:pt>
                <c:pt idx="37">
                  <c:v>-809.85339825635447</c:v>
                </c:pt>
                <c:pt idx="38">
                  <c:v>166.80019923313321</c:v>
                </c:pt>
                <c:pt idx="39">
                  <c:v>-652.45783040309368</c:v>
                </c:pt>
              </c:numCache>
            </c:numRef>
          </c:xVal>
          <c:yVal>
            <c:numRef>
              <c:f>SecT3!$Q$3:$Q$42</c:f>
              <c:numCache>
                <c:formatCode>General</c:formatCode>
                <c:ptCount val="40"/>
                <c:pt idx="0">
                  <c:v>-193.47468566894531</c:v>
                </c:pt>
                <c:pt idx="1">
                  <c:v>-195.07479858398438</c:v>
                </c:pt>
                <c:pt idx="2">
                  <c:v>-218.93733215332031</c:v>
                </c:pt>
                <c:pt idx="3">
                  <c:v>-184.29052734375</c:v>
                </c:pt>
                <c:pt idx="4">
                  <c:v>-193.10365295410156</c:v>
                </c:pt>
                <c:pt idx="5">
                  <c:v>-193.0272216796875</c:v>
                </c:pt>
                <c:pt idx="6">
                  <c:v>-192.93278503417969</c:v>
                </c:pt>
                <c:pt idx="7">
                  <c:v>-193.12612915039063</c:v>
                </c:pt>
                <c:pt idx="8">
                  <c:v>-193.28498840332031</c:v>
                </c:pt>
                <c:pt idx="9">
                  <c:v>-192.98037719726563</c:v>
                </c:pt>
                <c:pt idx="10">
                  <c:v>-193.08283996582031</c:v>
                </c:pt>
                <c:pt idx="11">
                  <c:v>-193.27616882324219</c:v>
                </c:pt>
                <c:pt idx="12">
                  <c:v>-192.92431640625</c:v>
                </c:pt>
                <c:pt idx="13">
                  <c:v>-192.87625122070313</c:v>
                </c:pt>
                <c:pt idx="14">
                  <c:v>-114.10828399658203</c:v>
                </c:pt>
                <c:pt idx="15">
                  <c:v>-193.32376098632813</c:v>
                </c:pt>
                <c:pt idx="16">
                  <c:v>-193.02825927734375</c:v>
                </c:pt>
                <c:pt idx="17">
                  <c:v>-193.18208312988281</c:v>
                </c:pt>
                <c:pt idx="18">
                  <c:v>-192.88658142089844</c:v>
                </c:pt>
                <c:pt idx="19">
                  <c:v>-193.33409118652344</c:v>
                </c:pt>
                <c:pt idx="20">
                  <c:v>-193.28602600097656</c:v>
                </c:pt>
                <c:pt idx="21">
                  <c:v>-192.93417358398438</c:v>
                </c:pt>
                <c:pt idx="22">
                  <c:v>-193.12751770019531</c:v>
                </c:pt>
                <c:pt idx="23">
                  <c:v>-193.22996520996094</c:v>
                </c:pt>
                <c:pt idx="24">
                  <c:v>-192.92535400390625</c:v>
                </c:pt>
                <c:pt idx="25">
                  <c:v>-193.08421325683594</c:v>
                </c:pt>
                <c:pt idx="26">
                  <c:v>-193.27755737304688</c:v>
                </c:pt>
                <c:pt idx="27">
                  <c:v>-193.18312072753906</c:v>
                </c:pt>
                <c:pt idx="28">
                  <c:v>-193.10670471191406</c:v>
                </c:pt>
                <c:pt idx="29">
                  <c:v>-201.91981506347656</c:v>
                </c:pt>
                <c:pt idx="30">
                  <c:v>-112.908203125</c:v>
                </c:pt>
                <c:pt idx="31">
                  <c:v>-192.73565673828125</c:v>
                </c:pt>
                <c:pt idx="32">
                  <c:v>-175.0601806640625</c:v>
                </c:pt>
                <c:pt idx="33">
                  <c:v>-194.33576965332031</c:v>
                </c:pt>
                <c:pt idx="34">
                  <c:v>-113.36925506591797</c:v>
                </c:pt>
                <c:pt idx="35">
                  <c:v>-193.53570556640625</c:v>
                </c:pt>
                <c:pt idx="36">
                  <c:v>-194.27473449707031</c:v>
                </c:pt>
                <c:pt idx="37">
                  <c:v>-220.53742980957031</c:v>
                </c:pt>
                <c:pt idx="38">
                  <c:v>-112.76921844482422</c:v>
                </c:pt>
                <c:pt idx="39">
                  <c:v>-203.51991271972656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AD-439C-AE0B-F297500BF54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SecT3!$AG$41:$AG$42</c:f>
              <c:numCache>
                <c:formatCode>General</c:formatCode>
                <c:ptCount val="2"/>
                <c:pt idx="0">
                  <c:v>1591.6660083639244</c:v>
                </c:pt>
                <c:pt idx="1">
                  <c:v>-1371.2596736878086</c:v>
                </c:pt>
              </c:numCache>
            </c:numRef>
          </c:xVal>
          <c:yVal>
            <c:numRef>
              <c:f>SecT3!$AD$41:$AD$42</c:f>
              <c:numCache>
                <c:formatCode>General</c:formatCode>
                <c:ptCount val="2"/>
                <c:pt idx="0">
                  <c:v>-220.5342580110833</c:v>
                </c:pt>
                <c:pt idx="1">
                  <c:v>-220.52764827245994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AD-439C-AE0B-F297500BF54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SecT3!$L$4</c:f>
              <c:numCache>
                <c:formatCode>General</c:formatCode>
                <c:ptCount val="1"/>
                <c:pt idx="0">
                  <c:v>1864.7965618970902</c:v>
                </c:pt>
              </c:numCache>
            </c:numRef>
          </c:xVal>
          <c:yVal>
            <c:numRef>
              <c:f>SecT3!$I$4</c:f>
              <c:numCache>
                <c:formatCode>General</c:formatCode>
                <c:ptCount val="1"/>
                <c:pt idx="0">
                  <c:v>-179.80414874085358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AD-439C-AE0B-F297500BF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SecT3!$AM$3:$AM$39</c:f>
              <c:numCache>
                <c:formatCode>General</c:formatCode>
                <c:ptCount val="37"/>
                <c:pt idx="0">
                  <c:v>2396.3184298845963</c:v>
                </c:pt>
                <c:pt idx="1">
                  <c:v>2362.2201891729883</c:v>
                </c:pt>
                <c:pt idx="2">
                  <c:v>2326.6372561369376</c:v>
                </c:pt>
                <c:pt idx="3">
                  <c:v>2246.998877620219</c:v>
                </c:pt>
                <c:pt idx="4">
                  <c:v>2103.0524717161275</c:v>
                </c:pt>
                <c:pt idx="5">
                  <c:v>1984.9488248838961</c:v>
                </c:pt>
                <c:pt idx="6">
                  <c:v>1682.0037620365511</c:v>
                </c:pt>
                <c:pt idx="7">
                  <c:v>1139.3416491919272</c:v>
                </c:pt>
                <c:pt idx="8">
                  <c:v>481.16816835644784</c:v>
                </c:pt>
                <c:pt idx="9">
                  <c:v>-3.6687595555121213</c:v>
                </c:pt>
                <c:pt idx="10">
                  <c:v>-524.05553954054506</c:v>
                </c:pt>
                <c:pt idx="11">
                  <c:v>-1000.5568591733102</c:v>
                </c:pt>
                <c:pt idx="12">
                  <c:v>-1360.3470649967983</c:v>
                </c:pt>
                <c:pt idx="13">
                  <c:v>-1654.7654980683935</c:v>
                </c:pt>
                <c:pt idx="14">
                  <c:v>-1948.6609605362808</c:v>
                </c:pt>
                <c:pt idx="15">
                  <c:v>-2284.0265322583173</c:v>
                </c:pt>
                <c:pt idx="16">
                  <c:v>-2681.7391086382095</c:v>
                </c:pt>
                <c:pt idx="17">
                  <c:v>-3133.485642600127</c:v>
                </c:pt>
                <c:pt idx="18">
                  <c:v>-3573.4067163692107</c:v>
                </c:pt>
                <c:pt idx="19">
                  <c:v>-3133.4856426001279</c:v>
                </c:pt>
                <c:pt idx="20">
                  <c:v>-2681.7391086382104</c:v>
                </c:pt>
                <c:pt idx="21">
                  <c:v>-2284.0265322583177</c:v>
                </c:pt>
                <c:pt idx="22">
                  <c:v>-1948.6609605362808</c:v>
                </c:pt>
                <c:pt idx="23">
                  <c:v>-1654.7654980683933</c:v>
                </c:pt>
                <c:pt idx="24">
                  <c:v>-1360.3470649967999</c:v>
                </c:pt>
                <c:pt idx="25">
                  <c:v>-1000.5568591733099</c:v>
                </c:pt>
                <c:pt idx="26">
                  <c:v>-524.05553954054506</c:v>
                </c:pt>
                <c:pt idx="27">
                  <c:v>-3.668759555513009</c:v>
                </c:pt>
                <c:pt idx="28">
                  <c:v>481.16816835644619</c:v>
                </c:pt>
                <c:pt idx="29">
                  <c:v>1139.3416491919245</c:v>
                </c:pt>
                <c:pt idx="30">
                  <c:v>1682.0037620365511</c:v>
                </c:pt>
                <c:pt idx="31">
                  <c:v>1984.9488248838957</c:v>
                </c:pt>
                <c:pt idx="32">
                  <c:v>2103.0524717161275</c:v>
                </c:pt>
                <c:pt idx="33">
                  <c:v>2246.9988776202185</c:v>
                </c:pt>
                <c:pt idx="34">
                  <c:v>2326.6372561369371</c:v>
                </c:pt>
                <c:pt idx="35">
                  <c:v>2362.2201891729878</c:v>
                </c:pt>
                <c:pt idx="36">
                  <c:v>2396.3184298845963</c:v>
                </c:pt>
              </c:numCache>
            </c:numRef>
          </c:xVal>
          <c:yVal>
            <c:numRef>
              <c:f>SecT3!$AL$3:$AL$39</c:f>
              <c:numCache>
                <c:formatCode>General</c:formatCode>
                <c:ptCount val="37"/>
                <c:pt idx="0">
                  <c:v>-1.7587353246430773E-14</c:v>
                </c:pt>
                <c:pt idx="1">
                  <c:v>266.7735650107669</c:v>
                </c:pt>
                <c:pt idx="2">
                  <c:v>480.14264994965345</c:v>
                </c:pt>
                <c:pt idx="3">
                  <c:v>717.10565180746755</c:v>
                </c:pt>
                <c:pt idx="4">
                  <c:v>995.93620263853677</c:v>
                </c:pt>
                <c:pt idx="5">
                  <c:v>1364.8834814638817</c:v>
                </c:pt>
                <c:pt idx="6">
                  <c:v>1837.3690021653913</c:v>
                </c:pt>
                <c:pt idx="7">
                  <c:v>2216.5580689125013</c:v>
                </c:pt>
                <c:pt idx="8">
                  <c:v>2165.4638205674414</c:v>
                </c:pt>
                <c:pt idx="9">
                  <c:v>2027.8557513104831</c:v>
                </c:pt>
                <c:pt idx="10">
                  <c:v>1867.437761078321</c:v>
                </c:pt>
                <c:pt idx="11">
                  <c:v>1678.9170004646112</c:v>
                </c:pt>
                <c:pt idx="12">
                  <c:v>1489.9344879872162</c:v>
                </c:pt>
                <c:pt idx="13">
                  <c:v>1309.8642798686064</c:v>
                </c:pt>
                <c:pt idx="14">
                  <c:v>1106.1554307130352</c:v>
                </c:pt>
                <c:pt idx="15">
                  <c:v>922.92551944995728</c:v>
                </c:pt>
                <c:pt idx="16">
                  <c:v>767.4477122949138</c:v>
                </c:pt>
                <c:pt idx="17">
                  <c:v>455.28202156563924</c:v>
                </c:pt>
                <c:pt idx="18">
                  <c:v>3.850939434202281E-13</c:v>
                </c:pt>
                <c:pt idx="19">
                  <c:v>-455.2820215656385</c:v>
                </c:pt>
                <c:pt idx="20">
                  <c:v>-767.44771229491323</c:v>
                </c:pt>
                <c:pt idx="21">
                  <c:v>-922.92551944995603</c:v>
                </c:pt>
                <c:pt idx="22">
                  <c:v>-1106.1554307130348</c:v>
                </c:pt>
                <c:pt idx="23">
                  <c:v>-1309.864279868606</c:v>
                </c:pt>
                <c:pt idx="24">
                  <c:v>-1489.9344879872156</c:v>
                </c:pt>
                <c:pt idx="25">
                  <c:v>-1678.9170004646116</c:v>
                </c:pt>
                <c:pt idx="26">
                  <c:v>-1867.437761078321</c:v>
                </c:pt>
                <c:pt idx="27">
                  <c:v>-2027.8557513104831</c:v>
                </c:pt>
                <c:pt idx="28">
                  <c:v>-2165.463820567441</c:v>
                </c:pt>
                <c:pt idx="29">
                  <c:v>-2216.5580689125022</c:v>
                </c:pt>
                <c:pt idx="30">
                  <c:v>-1837.3690021653913</c:v>
                </c:pt>
                <c:pt idx="31">
                  <c:v>-1364.8834814638824</c:v>
                </c:pt>
                <c:pt idx="32">
                  <c:v>-995.93620263853734</c:v>
                </c:pt>
                <c:pt idx="33">
                  <c:v>-717.10565180746801</c:v>
                </c:pt>
                <c:pt idx="34">
                  <c:v>-480.14264994965311</c:v>
                </c:pt>
                <c:pt idx="35">
                  <c:v>-266.7735650107669</c:v>
                </c:pt>
                <c:pt idx="36">
                  <c:v>-1.7587353246430773E-14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99-4AF3-B88E-84B9AD6DD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SecT3!$AQ$3:$AQ$30</c:f>
              <c:numCache>
                <c:formatCode>General</c:formatCode>
                <c:ptCount val="28"/>
                <c:pt idx="0">
                  <c:v>31.257829937365397</c:v>
                </c:pt>
                <c:pt idx="1">
                  <c:v>36.443878224768333</c:v>
                </c:pt>
                <c:pt idx="2">
                  <c:v>-106.0708181445407</c:v>
                </c:pt>
                <c:pt idx="3">
                  <c:v>-22.857445560372412</c:v>
                </c:pt>
                <c:pt idx="4">
                  <c:v>194.81064089595264</c:v>
                </c:pt>
                <c:pt idx="5">
                  <c:v>419.43923579089846</c:v>
                </c:pt>
                <c:pt idx="6">
                  <c:v>550.7532846151704</c:v>
                </c:pt>
                <c:pt idx="7">
                  <c:v>605.20591749468485</c:v>
                </c:pt>
                <c:pt idx="8">
                  <c:v>658.25499099483659</c:v>
                </c:pt>
                <c:pt idx="9">
                  <c:v>737.89809938166138</c:v>
                </c:pt>
                <c:pt idx="10">
                  <c:v>723.80691073107982</c:v>
                </c:pt>
                <c:pt idx="11">
                  <c:v>521.14896887292821</c:v>
                </c:pt>
                <c:pt idx="12">
                  <c:v>358.27299361538553</c:v>
                </c:pt>
                <c:pt idx="13">
                  <c:v>1.0089554637258824E-13</c:v>
                </c:pt>
                <c:pt idx="14">
                  <c:v>31.257829937365564</c:v>
                </c:pt>
                <c:pt idx="15">
                  <c:v>-144.18020751409321</c:v>
                </c:pt>
                <c:pt idx="16">
                  <c:v>-593.84830047171079</c:v>
                </c:pt>
                <c:pt idx="17">
                  <c:v>-853.78027179803564</c:v>
                </c:pt>
                <c:pt idx="18">
                  <c:v>-1085.9788443566861</c:v>
                </c:pt>
                <c:pt idx="19">
                  <c:v>-1013.5754855468704</c:v>
                </c:pt>
                <c:pt idx="20">
                  <c:v>-847.9617352405071</c:v>
                </c:pt>
                <c:pt idx="21">
                  <c:v>-687.27622242063728</c:v>
                </c:pt>
                <c:pt idx="22">
                  <c:v>-584.21794621608672</c:v>
                </c:pt>
                <c:pt idx="23">
                  <c:v>-450.08929764988079</c:v>
                </c:pt>
                <c:pt idx="24">
                  <c:v>-279.32119470511429</c:v>
                </c:pt>
                <c:pt idx="25">
                  <c:v>-73.225938715459506</c:v>
                </c:pt>
                <c:pt idx="26">
                  <c:v>42.86917701182486</c:v>
                </c:pt>
                <c:pt idx="27">
                  <c:v>-1.6760820033641459E-14</c:v>
                </c:pt>
              </c:numCache>
            </c:numRef>
          </c:xVal>
          <c:yVal>
            <c:numRef>
              <c:f>SecT3!$AP$3:$AP$30</c:f>
              <c:numCache>
                <c:formatCode>General</c:formatCode>
                <c:ptCount val="28"/>
                <c:pt idx="0">
                  <c:v>-1.0174716971733666E-13</c:v>
                </c:pt>
                <c:pt idx="1">
                  <c:v>349.17373711350632</c:v>
                </c:pt>
                <c:pt idx="2">
                  <c:v>1180.2317824370357</c:v>
                </c:pt>
                <c:pt idx="3">
                  <c:v>1807.0189316321814</c:v>
                </c:pt>
                <c:pt idx="4">
                  <c:v>2478.9028289610733</c:v>
                </c:pt>
                <c:pt idx="5">
                  <c:v>2379.7837238890943</c:v>
                </c:pt>
                <c:pt idx="6">
                  <c:v>2144.0180592195948</c:v>
                </c:pt>
                <c:pt idx="7">
                  <c:v>1979.9504614566806</c:v>
                </c:pt>
                <c:pt idx="8">
                  <c:v>1847.9040011589891</c:v>
                </c:pt>
                <c:pt idx="9">
                  <c:v>1639.042584461361</c:v>
                </c:pt>
                <c:pt idx="10">
                  <c:v>1347.7298559699166</c:v>
                </c:pt>
                <c:pt idx="11">
                  <c:v>1037.2202631241787</c:v>
                </c:pt>
                <c:pt idx="12">
                  <c:v>757.12558201771208</c:v>
                </c:pt>
                <c:pt idx="13">
                  <c:v>3.3326867517762062E-13</c:v>
                </c:pt>
                <c:pt idx="14">
                  <c:v>-2.778723431906549E-14</c:v>
                </c:pt>
                <c:pt idx="15">
                  <c:v>-299.51654052677327</c:v>
                </c:pt>
                <c:pt idx="16">
                  <c:v>-1055.4588203149804</c:v>
                </c:pt>
                <c:pt idx="17">
                  <c:v>-1547.8668038186215</c:v>
                </c:pt>
                <c:pt idx="18">
                  <c:v>-2070.1500251703196</c:v>
                </c:pt>
                <c:pt idx="19">
                  <c:v>-2043.5989582844225</c:v>
                </c:pt>
                <c:pt idx="20">
                  <c:v>-1962.5208757797784</c:v>
                </c:pt>
                <c:pt idx="21">
                  <c:v>-1889.8903742692389</c:v>
                </c:pt>
                <c:pt idx="22">
                  <c:v>-1855.3354912456132</c:v>
                </c:pt>
                <c:pt idx="23">
                  <c:v>-1772.4392071217151</c:v>
                </c:pt>
                <c:pt idx="24">
                  <c:v>-1585.5862345197274</c:v>
                </c:pt>
                <c:pt idx="25">
                  <c:v>-1175.8531541226364</c:v>
                </c:pt>
                <c:pt idx="26">
                  <c:v>-785.64160832956452</c:v>
                </c:pt>
                <c:pt idx="27">
                  <c:v>6.8732123764528056E-15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99-4AF3-B88E-84B9AD6DD9F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SecT3!$S$3:$S$42</c:f>
              <c:numCache>
                <c:formatCode>General</c:formatCode>
                <c:ptCount val="40"/>
                <c:pt idx="0">
                  <c:v>746.16998291015625</c:v>
                </c:pt>
                <c:pt idx="1">
                  <c:v>1161.10400390625</c:v>
                </c:pt>
                <c:pt idx="2">
                  <c:v>17.301162719726563</c:v>
                </c:pt>
                <c:pt idx="3">
                  <c:v>17.845218658447266</c:v>
                </c:pt>
                <c:pt idx="4">
                  <c:v>39.045375823974609</c:v>
                </c:pt>
                <c:pt idx="5">
                  <c:v>26.148242950439453</c:v>
                </c:pt>
                <c:pt idx="6">
                  <c:v>26.592620849609375</c:v>
                </c:pt>
                <c:pt idx="7">
                  <c:v>27.013982772827148</c:v>
                </c:pt>
                <c:pt idx="8">
                  <c:v>25.492536544799805</c:v>
                </c:pt>
                <c:pt idx="9">
                  <c:v>18.138359069824219</c:v>
                </c:pt>
                <c:pt idx="10">
                  <c:v>25.297758102416992</c:v>
                </c:pt>
                <c:pt idx="11">
                  <c:v>25.719120025634766</c:v>
                </c:pt>
                <c:pt idx="12">
                  <c:v>21.481056213378906</c:v>
                </c:pt>
                <c:pt idx="13">
                  <c:v>16.033361434936523</c:v>
                </c:pt>
                <c:pt idx="14">
                  <c:v>1156.1134033203125</c:v>
                </c:pt>
                <c:pt idx="15">
                  <c:v>17.264860153198242</c:v>
                </c:pt>
                <c:pt idx="16">
                  <c:v>10.07670783996582</c:v>
                </c:pt>
                <c:pt idx="17">
                  <c:v>20.825349807739258</c:v>
                </c:pt>
                <c:pt idx="18">
                  <c:v>13.63719654083252</c:v>
                </c:pt>
                <c:pt idx="19">
                  <c:v>14.868695259094238</c:v>
                </c:pt>
                <c:pt idx="20">
                  <c:v>9.4210004806518555</c:v>
                </c:pt>
                <c:pt idx="21">
                  <c:v>5.1829361915588379</c:v>
                </c:pt>
                <c:pt idx="22">
                  <c:v>5.6043000221252441</c:v>
                </c:pt>
                <c:pt idx="23">
                  <c:v>12.763696670532227</c:v>
                </c:pt>
                <c:pt idx="24">
                  <c:v>5.4095206260681152</c:v>
                </c:pt>
                <c:pt idx="25">
                  <c:v>3.8880734443664551</c:v>
                </c:pt>
                <c:pt idx="26">
                  <c:v>4.3094367980957031</c:v>
                </c:pt>
                <c:pt idx="27">
                  <c:v>4.7538132667541504</c:v>
                </c:pt>
                <c:pt idx="28">
                  <c:v>-8.1433172225952148</c:v>
                </c:pt>
                <c:pt idx="29">
                  <c:v>13.056838989257813</c:v>
                </c:pt>
                <c:pt idx="30">
                  <c:v>739.99456787109375</c:v>
                </c:pt>
                <c:pt idx="31">
                  <c:v>-715.2679443359375</c:v>
                </c:pt>
                <c:pt idx="32">
                  <c:v>14.428714752197266</c:v>
                </c:pt>
                <c:pt idx="33">
                  <c:v>-1137.40185546875</c:v>
                </c:pt>
                <c:pt idx="34">
                  <c:v>-1142.3924560546875</c:v>
                </c:pt>
                <c:pt idx="35">
                  <c:v>-933.41748046875</c:v>
                </c:pt>
                <c:pt idx="36">
                  <c:v>960.7196044921875</c:v>
                </c:pt>
                <c:pt idx="37">
                  <c:v>13.473413467407227</c:v>
                </c:pt>
                <c:pt idx="38">
                  <c:v>-939.00054931640625</c:v>
                </c:pt>
                <c:pt idx="39">
                  <c:v>352.15841674804688</c:v>
                </c:pt>
              </c:numCache>
            </c:numRef>
          </c:xVal>
          <c:yVal>
            <c:numRef>
              <c:f>SecT3!$R$3:$R$42</c:f>
              <c:numCache>
                <c:formatCode>General</c:formatCode>
                <c:ptCount val="40"/>
                <c:pt idx="0">
                  <c:v>1899.5633544921875</c:v>
                </c:pt>
                <c:pt idx="1">
                  <c:v>-1394.5313720703125</c:v>
                </c:pt>
                <c:pt idx="2">
                  <c:v>1772.7008056640625</c:v>
                </c:pt>
                <c:pt idx="3">
                  <c:v>1676.9306640625</c:v>
                </c:pt>
                <c:pt idx="4">
                  <c:v>1509.0343017578125</c:v>
                </c:pt>
                <c:pt idx="5">
                  <c:v>1504.3433837890625</c:v>
                </c:pt>
                <c:pt idx="6">
                  <c:v>1502.942626953125</c:v>
                </c:pt>
                <c:pt idx="7">
                  <c:v>1501.9039306640625</c:v>
                </c:pt>
                <c:pt idx="8">
                  <c:v>1500.7325439453125</c:v>
                </c:pt>
                <c:pt idx="9">
                  <c:v>1499.5281982421875</c:v>
                </c:pt>
                <c:pt idx="10">
                  <c:v>1499.1710205078125</c:v>
                </c:pt>
                <c:pt idx="11">
                  <c:v>1498.1324462890625</c:v>
                </c:pt>
                <c:pt idx="12">
                  <c:v>1496.823486328125</c:v>
                </c:pt>
                <c:pt idx="13">
                  <c:v>1496.6875</c:v>
                </c:pt>
                <c:pt idx="14">
                  <c:v>-1057.4520263671875</c:v>
                </c:pt>
                <c:pt idx="15">
                  <c:v>1494.718017578125</c:v>
                </c:pt>
                <c:pt idx="16">
                  <c:v>1493.7489013671875</c:v>
                </c:pt>
                <c:pt idx="17">
                  <c:v>1493.212646484375</c:v>
                </c:pt>
                <c:pt idx="18">
                  <c:v>1492.2435302734375</c:v>
                </c:pt>
                <c:pt idx="19">
                  <c:v>1490.27392578125</c:v>
                </c:pt>
                <c:pt idx="20">
                  <c:v>1490.1380615234375</c:v>
                </c:pt>
                <c:pt idx="21">
                  <c:v>1488.8291015625</c:v>
                </c:pt>
                <c:pt idx="22">
                  <c:v>1487.79052734375</c:v>
                </c:pt>
                <c:pt idx="23">
                  <c:v>1487.433349609375</c:v>
                </c:pt>
                <c:pt idx="24">
                  <c:v>1486.22900390625</c:v>
                </c:pt>
                <c:pt idx="25">
                  <c:v>1485.0576171875</c:v>
                </c:pt>
                <c:pt idx="26">
                  <c:v>1484.0189208984375</c:v>
                </c:pt>
                <c:pt idx="27">
                  <c:v>1482.6181640625</c:v>
                </c:pt>
                <c:pt idx="28">
                  <c:v>1477.9271240234375</c:v>
                </c:pt>
                <c:pt idx="29">
                  <c:v>1310.0308837890625</c:v>
                </c:pt>
                <c:pt idx="30">
                  <c:v>1177.1680908203125</c:v>
                </c:pt>
                <c:pt idx="31">
                  <c:v>1087.398193359375</c:v>
                </c:pt>
                <c:pt idx="32">
                  <c:v>1199.4664306640625</c:v>
                </c:pt>
                <c:pt idx="33">
                  <c:v>-0.28983169794082642</c:v>
                </c:pt>
                <c:pt idx="34">
                  <c:v>336.78948974609375</c:v>
                </c:pt>
                <c:pt idx="35">
                  <c:v>544.88232421875</c:v>
                </c:pt>
                <c:pt idx="36">
                  <c:v>251.18789672851563</c:v>
                </c:pt>
                <c:pt idx="37">
                  <c:v>-827.5919189453125</c:v>
                </c:pt>
                <c:pt idx="38">
                  <c:v>352.224365234375</c:v>
                </c:pt>
                <c:pt idx="39">
                  <c:v>-733.01385498046875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99-4AF3-B88E-84B9AD6DD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SecT3!$AG$3:$AG$39</c:f>
              <c:numCache>
                <c:formatCode>General</c:formatCode>
                <c:ptCount val="37"/>
                <c:pt idx="0">
                  <c:v>1637.911096699363</c:v>
                </c:pt>
                <c:pt idx="1">
                  <c:v>1600.3777173132548</c:v>
                </c:pt>
                <c:pt idx="2">
                  <c:v>1522.8861910088806</c:v>
                </c:pt>
                <c:pt idx="3">
                  <c:v>1411.3757042137822</c:v>
                </c:pt>
                <c:pt idx="4">
                  <c:v>1316.8168790801599</c:v>
                </c:pt>
                <c:pt idx="5">
                  <c:v>1216.3627652618497</c:v>
                </c:pt>
                <c:pt idx="6">
                  <c:v>1109.9682344811297</c:v>
                </c:pt>
                <c:pt idx="7">
                  <c:v>963.39447922116733</c:v>
                </c:pt>
                <c:pt idx="8">
                  <c:v>735.50896160381706</c:v>
                </c:pt>
                <c:pt idx="9">
                  <c:v>314.92363015728341</c:v>
                </c:pt>
                <c:pt idx="10">
                  <c:v>-111.62727979082591</c:v>
                </c:pt>
                <c:pt idx="11">
                  <c:v>-540.01524696461081</c:v>
                </c:pt>
                <c:pt idx="12">
                  <c:v>-986.95824720710107</c:v>
                </c:pt>
                <c:pt idx="13">
                  <c:v>-1404.3347596840642</c:v>
                </c:pt>
                <c:pt idx="14">
                  <c:v>-1679.9694245131434</c:v>
                </c:pt>
                <c:pt idx="15">
                  <c:v>-1862.5543535799738</c:v>
                </c:pt>
                <c:pt idx="16">
                  <c:v>-2008.0653901508201</c:v>
                </c:pt>
                <c:pt idx="17">
                  <c:v>-2091.2778258771814</c:v>
                </c:pt>
                <c:pt idx="18">
                  <c:v>-2143.5211769563412</c:v>
                </c:pt>
                <c:pt idx="19">
                  <c:v>-2091.2778258771805</c:v>
                </c:pt>
                <c:pt idx="20">
                  <c:v>-2008.0653901508208</c:v>
                </c:pt>
                <c:pt idx="21">
                  <c:v>-1862.5543535799738</c:v>
                </c:pt>
                <c:pt idx="22">
                  <c:v>-1679.9694245131438</c:v>
                </c:pt>
                <c:pt idx="23">
                  <c:v>-1404.3347596840642</c:v>
                </c:pt>
                <c:pt idx="24">
                  <c:v>-986.9582472071022</c:v>
                </c:pt>
                <c:pt idx="25">
                  <c:v>-540.01524696461024</c:v>
                </c:pt>
                <c:pt idx="26">
                  <c:v>-111.62727979082581</c:v>
                </c:pt>
                <c:pt idx="27">
                  <c:v>314.92363015728273</c:v>
                </c:pt>
                <c:pt idx="28">
                  <c:v>735.5089616038166</c:v>
                </c:pt>
                <c:pt idx="29">
                  <c:v>963.3944792211671</c:v>
                </c:pt>
                <c:pt idx="30">
                  <c:v>1109.9682344811297</c:v>
                </c:pt>
                <c:pt idx="31">
                  <c:v>1216.3627652618495</c:v>
                </c:pt>
                <c:pt idx="32">
                  <c:v>1316.8168790801601</c:v>
                </c:pt>
                <c:pt idx="33">
                  <c:v>1411.3757042137813</c:v>
                </c:pt>
                <c:pt idx="34">
                  <c:v>1522.8861910088806</c:v>
                </c:pt>
                <c:pt idx="35">
                  <c:v>1600.3777173132546</c:v>
                </c:pt>
                <c:pt idx="36">
                  <c:v>1637.911096699363</c:v>
                </c:pt>
              </c:numCache>
            </c:numRef>
          </c:xVal>
          <c:yVal>
            <c:numRef>
              <c:f>SecT3!$AF$3:$AF$39</c:f>
              <c:numCache>
                <c:formatCode>General</c:formatCode>
                <c:ptCount val="37"/>
                <c:pt idx="0">
                  <c:v>0</c:v>
                </c:pt>
                <c:pt idx="1">
                  <c:v>292.95721554214833</c:v>
                </c:pt>
                <c:pt idx="2">
                  <c:v>589.09514137776637</c:v>
                </c:pt>
                <c:pt idx="3">
                  <c:v>872.17486762176065</c:v>
                </c:pt>
                <c:pt idx="4">
                  <c:v>1070.4169796461722</c:v>
                </c:pt>
                <c:pt idx="5">
                  <c:v>1221.7728078230525</c:v>
                </c:pt>
                <c:pt idx="6">
                  <c:v>1346.1026748025708</c:v>
                </c:pt>
                <c:pt idx="7">
                  <c:v>1449.5392219524717</c:v>
                </c:pt>
                <c:pt idx="8">
                  <c:v>1475.904274173764</c:v>
                </c:pt>
                <c:pt idx="9">
                  <c:v>1472.7762802474772</c:v>
                </c:pt>
                <c:pt idx="10">
                  <c:v>1378.5249664254593</c:v>
                </c:pt>
                <c:pt idx="11">
                  <c:v>1239.1654475016235</c:v>
                </c:pt>
                <c:pt idx="12">
                  <c:v>1031.0812991621819</c:v>
                </c:pt>
                <c:pt idx="13">
                  <c:v>763.64113613316169</c:v>
                </c:pt>
                <c:pt idx="14">
                  <c:v>525.1914330729868</c:v>
                </c:pt>
                <c:pt idx="15">
                  <c:v>337.64543981615157</c:v>
                </c:pt>
                <c:pt idx="16">
                  <c:v>182.20629393694824</c:v>
                </c:pt>
                <c:pt idx="17">
                  <c:v>84.845753360915154</c:v>
                </c:pt>
                <c:pt idx="18">
                  <c:v>-6.7863822361758895E-14</c:v>
                </c:pt>
                <c:pt idx="19">
                  <c:v>-84.845753360914514</c:v>
                </c:pt>
                <c:pt idx="20">
                  <c:v>-182.2062939369481</c:v>
                </c:pt>
                <c:pt idx="21">
                  <c:v>-337.64543981615134</c:v>
                </c:pt>
                <c:pt idx="22">
                  <c:v>-525.19143307298634</c:v>
                </c:pt>
                <c:pt idx="23">
                  <c:v>-763.64113613316158</c:v>
                </c:pt>
                <c:pt idx="24">
                  <c:v>-1031.0812991621792</c:v>
                </c:pt>
                <c:pt idx="25">
                  <c:v>-1239.1654475016232</c:v>
                </c:pt>
                <c:pt idx="26">
                  <c:v>-1378.5249664254593</c:v>
                </c:pt>
                <c:pt idx="27">
                  <c:v>-1472.7762802474776</c:v>
                </c:pt>
                <c:pt idx="28">
                  <c:v>-1475.904274173764</c:v>
                </c:pt>
                <c:pt idx="29">
                  <c:v>-1449.5392219524724</c:v>
                </c:pt>
                <c:pt idx="30">
                  <c:v>-1346.1026748025711</c:v>
                </c:pt>
                <c:pt idx="31">
                  <c:v>-1221.7728078230527</c:v>
                </c:pt>
                <c:pt idx="32">
                  <c:v>-1070.4169796461729</c:v>
                </c:pt>
                <c:pt idx="33">
                  <c:v>-872.17486762176111</c:v>
                </c:pt>
                <c:pt idx="34">
                  <c:v>-589.09514137776614</c:v>
                </c:pt>
                <c:pt idx="35">
                  <c:v>-292.95721554214856</c:v>
                </c:pt>
                <c:pt idx="3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99-4AF3-B88E-84B9AD6DD9F6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SecT3!$K$4</c:f>
              <c:numCache>
                <c:formatCode>General</c:formatCode>
                <c:ptCount val="1"/>
                <c:pt idx="0">
                  <c:v>693.09288735139148</c:v>
                </c:pt>
              </c:numCache>
            </c:numRef>
          </c:xVal>
          <c:yVal>
            <c:numRef>
              <c:f>SecT3!$J$4</c:f>
              <c:numCache>
                <c:formatCode>General</c:formatCode>
                <c:ptCount val="1"/>
                <c:pt idx="0">
                  <c:v>1765.0526046437649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99-4AF3-B88E-84B9AD6D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SecL1!$C$45:$C$51</c:f>
              <c:numCache>
                <c:formatCode>General</c:formatCode>
                <c:ptCount val="7"/>
                <c:pt idx="0">
                  <c:v>-27.686518758812237</c:v>
                </c:pt>
                <c:pt idx="1">
                  <c:v>42.313481241187759</c:v>
                </c:pt>
                <c:pt idx="2">
                  <c:v>42.313481241187759</c:v>
                </c:pt>
                <c:pt idx="3">
                  <c:v>7.3134812411877625</c:v>
                </c:pt>
                <c:pt idx="4">
                  <c:v>7.3134812411877625</c:v>
                </c:pt>
                <c:pt idx="5">
                  <c:v>-27.686518758812237</c:v>
                </c:pt>
                <c:pt idx="6">
                  <c:v>-27.686518758812237</c:v>
                </c:pt>
              </c:numCache>
            </c:numRef>
          </c:xVal>
          <c:yVal>
            <c:numRef>
              <c:f>SecL1!$D$45:$D$51</c:f>
              <c:numCache>
                <c:formatCode>General</c:formatCode>
                <c:ptCount val="7"/>
                <c:pt idx="0">
                  <c:v>-22.361358417110949</c:v>
                </c:pt>
                <c:pt idx="1">
                  <c:v>-22.361358417110949</c:v>
                </c:pt>
                <c:pt idx="2">
                  <c:v>-2.3613584171109494</c:v>
                </c:pt>
                <c:pt idx="3">
                  <c:v>-2.3613584171109494</c:v>
                </c:pt>
                <c:pt idx="4">
                  <c:v>32.638641582889051</c:v>
                </c:pt>
                <c:pt idx="5">
                  <c:v>32.638641582889051</c:v>
                </c:pt>
                <c:pt idx="6">
                  <c:v>-22.361358417110949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8-4EF5-8780-755866222EF1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SecL1!$J$45:$J$53</c:f>
              <c:numCache>
                <c:formatCode>General</c:formatCode>
                <c:ptCount val="9"/>
                <c:pt idx="0">
                  <c:v>-27.686518758812237</c:v>
                </c:pt>
                <c:pt idx="1">
                  <c:v>2.0377629614075494</c:v>
                </c:pt>
                <c:pt idx="2">
                  <c:v>-6.2872259884317518</c:v>
                </c:pt>
                <c:pt idx="3">
                  <c:v>-27.686518758812234</c:v>
                </c:pt>
                <c:pt idx="4">
                  <c:v>-27.686518758812237</c:v>
                </c:pt>
                <c:pt idx="5">
                  <c:v>-27.686518758812237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SecL1!$K$45:$K$53</c:f>
              <c:numCache>
                <c:formatCode>General</c:formatCode>
                <c:ptCount val="9"/>
                <c:pt idx="0">
                  <c:v>-22.361358417110949</c:v>
                </c:pt>
                <c:pt idx="1">
                  <c:v>-22.361358417110946</c:v>
                </c:pt>
                <c:pt idx="2">
                  <c:v>32.638641582889036</c:v>
                </c:pt>
                <c:pt idx="3">
                  <c:v>32.638641582889043</c:v>
                </c:pt>
                <c:pt idx="4">
                  <c:v>-22.361358417110949</c:v>
                </c:pt>
                <c:pt idx="5">
                  <c:v>-22.361358417110949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8-4EF5-8780-755866222EF1}"/>
            </c:ext>
          </c:extLst>
        </c:ser>
        <c:ser>
          <c:idx val="3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SecL1!$Z$45:$Z$72</c:f>
              <c:numCache>
                <c:formatCode>General</c:formatCode>
                <c:ptCount val="28"/>
                <c:pt idx="0">
                  <c:v>-22.686518758812237</c:v>
                </c:pt>
                <c:pt idx="1">
                  <c:v>2.3134812411877625</c:v>
                </c:pt>
                <c:pt idx="2">
                  <c:v>37.313481241187759</c:v>
                </c:pt>
                <c:pt idx="3">
                  <c:v>37.313481241187759</c:v>
                </c:pt>
                <c:pt idx="4">
                  <c:v>2.3134812411877625</c:v>
                </c:pt>
                <c:pt idx="5">
                  <c:v>2.3134812411877625</c:v>
                </c:pt>
                <c:pt idx="6">
                  <c:v>-22.686518758812237</c:v>
                </c:pt>
                <c:pt idx="7">
                  <c:v>-22.686518758812237</c:v>
                </c:pt>
                <c:pt idx="8">
                  <c:v>-10.186518758812237</c:v>
                </c:pt>
                <c:pt idx="9">
                  <c:v>13.980147907854427</c:v>
                </c:pt>
                <c:pt idx="10">
                  <c:v>25.646814574521091</c:v>
                </c:pt>
                <c:pt idx="11">
                  <c:v>13.980147907854427</c:v>
                </c:pt>
                <c:pt idx="12">
                  <c:v>25.646814574521091</c:v>
                </c:pt>
                <c:pt idx="13">
                  <c:v>2.3134812411877625</c:v>
                </c:pt>
                <c:pt idx="14">
                  <c:v>2.3134812411877625</c:v>
                </c:pt>
                <c:pt idx="15">
                  <c:v>-10.186518758812237</c:v>
                </c:pt>
                <c:pt idx="16">
                  <c:v>-22.686518758812237</c:v>
                </c:pt>
                <c:pt idx="17">
                  <c:v>-22.686518758812237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xVal>
          <c:yVal>
            <c:numRef>
              <c:f>SecL1!$AA$45:$AA$72</c:f>
              <c:numCache>
                <c:formatCode>General</c:formatCode>
                <c:ptCount val="28"/>
                <c:pt idx="0">
                  <c:v>-17.361358417110949</c:v>
                </c:pt>
                <c:pt idx="1">
                  <c:v>-17.361358417110949</c:v>
                </c:pt>
                <c:pt idx="2">
                  <c:v>-17.361358417110949</c:v>
                </c:pt>
                <c:pt idx="3">
                  <c:v>-7.3613584171109494</c:v>
                </c:pt>
                <c:pt idx="4">
                  <c:v>-7.3613584171109494</c:v>
                </c:pt>
                <c:pt idx="5">
                  <c:v>27.638641582889051</c:v>
                </c:pt>
                <c:pt idx="6">
                  <c:v>27.638641582889051</c:v>
                </c:pt>
                <c:pt idx="7">
                  <c:v>-7.3613584171109494</c:v>
                </c:pt>
                <c:pt idx="8">
                  <c:v>-17.361358417110949</c:v>
                </c:pt>
                <c:pt idx="9">
                  <c:v>-17.361358417110949</c:v>
                </c:pt>
                <c:pt idx="10">
                  <c:v>-17.361358417110949</c:v>
                </c:pt>
                <c:pt idx="11">
                  <c:v>-7.3613584171109494</c:v>
                </c:pt>
                <c:pt idx="12">
                  <c:v>-7.3613584171109494</c:v>
                </c:pt>
                <c:pt idx="13">
                  <c:v>4.3053082495557149</c:v>
                </c:pt>
                <c:pt idx="14">
                  <c:v>15.971974916222379</c:v>
                </c:pt>
                <c:pt idx="15">
                  <c:v>27.638641582889051</c:v>
                </c:pt>
                <c:pt idx="16">
                  <c:v>4.3053082495557149</c:v>
                </c:pt>
                <c:pt idx="17">
                  <c:v>15.971974916222379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8-4EF5-8780-755866222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  <c:majorUnit val="10"/>
        <c:minorUnit val="5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SecL1!$AM$41:$AM$42</c:f>
              <c:numCache>
                <c:formatCode>General</c:formatCode>
                <c:ptCount val="2"/>
                <c:pt idx="0">
                  <c:v>5717.7918580488267</c:v>
                </c:pt>
                <c:pt idx="1">
                  <c:v>-3727.1870176326993</c:v>
                </c:pt>
              </c:numCache>
            </c:numRef>
          </c:xVal>
          <c:yVal>
            <c:numRef>
              <c:f>SecL1!$AJ$41:$AJ$42</c:f>
              <c:numCache>
                <c:formatCode>General</c:formatCode>
                <c:ptCount val="2"/>
                <c:pt idx="0">
                  <c:v>-112.73576215727157</c:v>
                </c:pt>
                <c:pt idx="1">
                  <c:v>-112.7452761697302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F4-458B-BE30-943F0CC3CA4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SecL1!$AR$3:$AR$30</c:f>
              <c:numCache>
                <c:formatCode>General</c:formatCode>
                <c:ptCount val="28"/>
                <c:pt idx="0">
                  <c:v>340.42216631604754</c:v>
                </c:pt>
                <c:pt idx="1">
                  <c:v>1261.2680245167444</c:v>
                </c:pt>
                <c:pt idx="2">
                  <c:v>3339.1744563289844</c:v>
                </c:pt>
                <c:pt idx="3">
                  <c:v>4640.3217899656183</c:v>
                </c:pt>
                <c:pt idx="4">
                  <c:v>5767.0827832824361</c:v>
                </c:pt>
                <c:pt idx="5">
                  <c:v>5284.8713062262923</c:v>
                </c:pt>
                <c:pt idx="6">
                  <c:v>4516.2803235376568</c:v>
                </c:pt>
                <c:pt idx="7">
                  <c:v>4078.0968885189614</c:v>
                </c:pt>
                <c:pt idx="8">
                  <c:v>3689.6243485765367</c:v>
                </c:pt>
                <c:pt idx="9">
                  <c:v>3232.4544987134732</c:v>
                </c:pt>
                <c:pt idx="10">
                  <c:v>2755.526594296146</c:v>
                </c:pt>
                <c:pt idx="11">
                  <c:v>2083.6673020895446</c:v>
                </c:pt>
                <c:pt idx="12">
                  <c:v>1491.0457230989214</c:v>
                </c:pt>
                <c:pt idx="13">
                  <c:v>-1.3073986337985843E-12</c:v>
                </c:pt>
                <c:pt idx="14">
                  <c:v>340.42216631604754</c:v>
                </c:pt>
                <c:pt idx="15">
                  <c:v>-472.49524588791428</c:v>
                </c:pt>
                <c:pt idx="16">
                  <c:v>-2216.4325307581994</c:v>
                </c:pt>
                <c:pt idx="17">
                  <c:v>-3245.6625429411265</c:v>
                </c:pt>
                <c:pt idx="18">
                  <c:v>-4249.1070726197877</c:v>
                </c:pt>
                <c:pt idx="19">
                  <c:v>-4164.8736593958292</c:v>
                </c:pt>
                <c:pt idx="20">
                  <c:v>-3933.6081517327248</c:v>
                </c:pt>
                <c:pt idx="21">
                  <c:v>-3761.6426708162871</c:v>
                </c:pt>
                <c:pt idx="22">
                  <c:v>-3708.2680706478222</c:v>
                </c:pt>
                <c:pt idx="23">
                  <c:v>-3564.4935514747008</c:v>
                </c:pt>
                <c:pt idx="24">
                  <c:v>-3215.0944848945956</c:v>
                </c:pt>
                <c:pt idx="25">
                  <c:v>-2432.2871057276247</c:v>
                </c:pt>
                <c:pt idx="26">
                  <c:v>-1580.6737594554177</c:v>
                </c:pt>
                <c:pt idx="27">
                  <c:v>-5.9685589803848395E-13</c:v>
                </c:pt>
              </c:numCache>
            </c:numRef>
          </c:xVal>
          <c:yVal>
            <c:numRef>
              <c:f>SecL1!$AO$3:$AO$30</c:f>
              <c:numCache>
                <c:formatCode>General</c:formatCode>
                <c:ptCount val="28"/>
                <c:pt idx="0">
                  <c:v>213.75395444302745</c:v>
                </c:pt>
                <c:pt idx="1">
                  <c:v>169.79889809013721</c:v>
                </c:pt>
                <c:pt idx="2">
                  <c:v>70.986517407810027</c:v>
                </c:pt>
                <c:pt idx="3">
                  <c:v>-11.797686644229799</c:v>
                </c:pt>
                <c:pt idx="4">
                  <c:v>-106.45851107334987</c:v>
                </c:pt>
                <c:pt idx="5">
                  <c:v>-155.24802366504977</c:v>
                </c:pt>
                <c:pt idx="6">
                  <c:v>-205.36250524522458</c:v>
                </c:pt>
                <c:pt idx="7">
                  <c:v>-225.82796576283363</c:v>
                </c:pt>
                <c:pt idx="8">
                  <c:v>-266.72359472755096</c:v>
                </c:pt>
                <c:pt idx="9">
                  <c:v>-305.02792170712428</c:v>
                </c:pt>
                <c:pt idx="10">
                  <c:v>-336.04123836478914</c:v>
                </c:pt>
                <c:pt idx="11">
                  <c:v>-361.90593000407807</c:v>
                </c:pt>
                <c:pt idx="12">
                  <c:v>-361.90593000407807</c:v>
                </c:pt>
                <c:pt idx="13">
                  <c:v>-361.90593000407807</c:v>
                </c:pt>
                <c:pt idx="14">
                  <c:v>213.75395444302745</c:v>
                </c:pt>
                <c:pt idx="15">
                  <c:v>188.04911794227388</c:v>
                </c:pt>
                <c:pt idx="16">
                  <c:v>132.071218452842</c:v>
                </c:pt>
                <c:pt idx="17">
                  <c:v>91.624555426303459</c:v>
                </c:pt>
                <c:pt idx="18">
                  <c:v>42.196870594086874</c:v>
                </c:pt>
                <c:pt idx="19">
                  <c:v>-3.1794641420349592</c:v>
                </c:pt>
                <c:pt idx="20">
                  <c:v>-48.51255611296434</c:v>
                </c:pt>
                <c:pt idx="21">
                  <c:v>-77.714884420564772</c:v>
                </c:pt>
                <c:pt idx="22">
                  <c:v>-123.85979489621394</c:v>
                </c:pt>
                <c:pt idx="23">
                  <c:v>-175.9052087100419</c:v>
                </c:pt>
                <c:pt idx="24">
                  <c:v>-236.90339634022348</c:v>
                </c:pt>
                <c:pt idx="25">
                  <c:v>-310.23830065553722</c:v>
                </c:pt>
                <c:pt idx="26">
                  <c:v>-361.90593000407807</c:v>
                </c:pt>
                <c:pt idx="27">
                  <c:v>-361.90593000407807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F4-458B-BE30-943F0CC3CA4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SecL1!$U$3:$U$42</c:f>
              <c:numCache>
                <c:formatCode>General</c:formatCode>
                <c:ptCount val="40"/>
                <c:pt idx="0">
                  <c:v>1766.4990672319943</c:v>
                </c:pt>
                <c:pt idx="1">
                  <c:v>-1552.5951162061833</c:v>
                </c:pt>
                <c:pt idx="2">
                  <c:v>1750.1468679287152</c:v>
                </c:pt>
                <c:pt idx="3">
                  <c:v>1655.3738945497275</c:v>
                </c:pt>
                <c:pt idx="4">
                  <c:v>1486.1956407437385</c:v>
                </c:pt>
                <c:pt idx="5">
                  <c:v>1483.4877218598376</c:v>
                </c:pt>
                <c:pt idx="6">
                  <c:v>1482.0362357162003</c:v>
                </c:pt>
                <c:pt idx="7">
                  <c:v>1480.9461770310568</c:v>
                </c:pt>
                <c:pt idx="8">
                  <c:v>1480.0156805278634</c:v>
                </c:pt>
                <c:pt idx="9">
                  <c:v>1479.9255154243954</c:v>
                </c:pt>
                <c:pt idx="10">
                  <c:v>1478.5008937131772</c:v>
                </c:pt>
                <c:pt idx="11">
                  <c:v>1477.4109557235552</c:v>
                </c:pt>
                <c:pt idx="12">
                  <c:v>1476.7510009237189</c:v>
                </c:pt>
                <c:pt idx="13">
                  <c:v>1477.4318412318453</c:v>
                </c:pt>
                <c:pt idx="14">
                  <c:v>-1218.5651683013352</c:v>
                </c:pt>
                <c:pt idx="15">
                  <c:v>1475.300235146299</c:v>
                </c:pt>
                <c:pt idx="16">
                  <c:v>1475.4178031966724</c:v>
                </c:pt>
                <c:pt idx="17">
                  <c:v>1473.2789595917448</c:v>
                </c:pt>
                <c:pt idx="18">
                  <c:v>1473.3965277848438</c:v>
                </c:pt>
                <c:pt idx="19">
                  <c:v>1471.264801003776</c:v>
                </c:pt>
                <c:pt idx="20">
                  <c:v>1471.9457620074238</c:v>
                </c:pt>
                <c:pt idx="21">
                  <c:v>1471.2858072789504</c:v>
                </c:pt>
                <c:pt idx="22">
                  <c:v>1470.1958690038769</c:v>
                </c:pt>
                <c:pt idx="23">
                  <c:v>1468.771247649473</c:v>
                </c:pt>
                <c:pt idx="24">
                  <c:v>1468.6810823319165</c:v>
                </c:pt>
                <c:pt idx="25">
                  <c:v>1467.7505859714488</c:v>
                </c:pt>
                <c:pt idx="26">
                  <c:v>1466.6605270722168</c:v>
                </c:pt>
                <c:pt idx="27">
                  <c:v>1465.209041142668</c:v>
                </c:pt>
                <c:pt idx="28">
                  <c:v>1462.5010012064313</c:v>
                </c:pt>
                <c:pt idx="29">
                  <c:v>1293.3228682386894</c:v>
                </c:pt>
                <c:pt idx="30">
                  <c:v>1053.1638321141711</c:v>
                </c:pt>
                <c:pt idx="31">
                  <c:v>1182.1976984109365</c:v>
                </c:pt>
                <c:pt idx="32">
                  <c:v>1183.798310668938</c:v>
                </c:pt>
                <c:pt idx="33">
                  <c:v>169.93555739425258</c:v>
                </c:pt>
                <c:pt idx="34">
                  <c:v>503.96548131322311</c:v>
                </c:pt>
                <c:pt idx="35">
                  <c:v>678.43978341771844</c:v>
                </c:pt>
                <c:pt idx="36">
                  <c:v>104.57886378538151</c:v>
                </c:pt>
                <c:pt idx="37">
                  <c:v>-820.28775418321675</c:v>
                </c:pt>
                <c:pt idx="38">
                  <c:v>488.78714894567531</c:v>
                </c:pt>
                <c:pt idx="39">
                  <c:v>-777.46202540770992</c:v>
                </c:pt>
              </c:numCache>
            </c:numRef>
          </c:xVal>
          <c:yVal>
            <c:numRef>
              <c:f>SecL1!$Q$3:$Q$42</c:f>
              <c:numCache>
                <c:formatCode>General</c:formatCode>
                <c:ptCount val="40"/>
                <c:pt idx="0">
                  <c:v>-193.47468566894531</c:v>
                </c:pt>
                <c:pt idx="1">
                  <c:v>-195.07479858398438</c:v>
                </c:pt>
                <c:pt idx="2">
                  <c:v>-218.93733215332031</c:v>
                </c:pt>
                <c:pt idx="3">
                  <c:v>-184.29052734375</c:v>
                </c:pt>
                <c:pt idx="4">
                  <c:v>-193.10365295410156</c:v>
                </c:pt>
                <c:pt idx="5">
                  <c:v>-193.0272216796875</c:v>
                </c:pt>
                <c:pt idx="6">
                  <c:v>-192.93278503417969</c:v>
                </c:pt>
                <c:pt idx="7">
                  <c:v>-193.12612915039063</c:v>
                </c:pt>
                <c:pt idx="8">
                  <c:v>-193.28498840332031</c:v>
                </c:pt>
                <c:pt idx="9">
                  <c:v>-192.98037719726563</c:v>
                </c:pt>
                <c:pt idx="10">
                  <c:v>-193.08283996582031</c:v>
                </c:pt>
                <c:pt idx="11">
                  <c:v>-193.27616882324219</c:v>
                </c:pt>
                <c:pt idx="12">
                  <c:v>-192.92431640625</c:v>
                </c:pt>
                <c:pt idx="13">
                  <c:v>-192.87625122070313</c:v>
                </c:pt>
                <c:pt idx="14">
                  <c:v>-114.10828399658203</c:v>
                </c:pt>
                <c:pt idx="15">
                  <c:v>-193.32376098632813</c:v>
                </c:pt>
                <c:pt idx="16">
                  <c:v>-193.02825927734375</c:v>
                </c:pt>
                <c:pt idx="17">
                  <c:v>-193.18208312988281</c:v>
                </c:pt>
                <c:pt idx="18">
                  <c:v>-192.88658142089844</c:v>
                </c:pt>
                <c:pt idx="19">
                  <c:v>-193.33409118652344</c:v>
                </c:pt>
                <c:pt idx="20">
                  <c:v>-193.28602600097656</c:v>
                </c:pt>
                <c:pt idx="21">
                  <c:v>-192.93417358398438</c:v>
                </c:pt>
                <c:pt idx="22">
                  <c:v>-193.12751770019531</c:v>
                </c:pt>
                <c:pt idx="23">
                  <c:v>-193.22996520996094</c:v>
                </c:pt>
                <c:pt idx="24">
                  <c:v>-192.92535400390625</c:v>
                </c:pt>
                <c:pt idx="25">
                  <c:v>-193.08421325683594</c:v>
                </c:pt>
                <c:pt idx="26">
                  <c:v>-193.27755737304688</c:v>
                </c:pt>
                <c:pt idx="27">
                  <c:v>-193.18312072753906</c:v>
                </c:pt>
                <c:pt idx="28">
                  <c:v>-193.10670471191406</c:v>
                </c:pt>
                <c:pt idx="29">
                  <c:v>-201.91981506347656</c:v>
                </c:pt>
                <c:pt idx="30">
                  <c:v>-112.908203125</c:v>
                </c:pt>
                <c:pt idx="31">
                  <c:v>-192.73565673828125</c:v>
                </c:pt>
                <c:pt idx="32">
                  <c:v>-175.0601806640625</c:v>
                </c:pt>
                <c:pt idx="33">
                  <c:v>-194.33576965332031</c:v>
                </c:pt>
                <c:pt idx="34">
                  <c:v>-113.36925506591797</c:v>
                </c:pt>
                <c:pt idx="35">
                  <c:v>-193.53570556640625</c:v>
                </c:pt>
                <c:pt idx="36">
                  <c:v>-194.27473449707031</c:v>
                </c:pt>
                <c:pt idx="37">
                  <c:v>-220.53742980957031</c:v>
                </c:pt>
                <c:pt idx="38">
                  <c:v>-112.76921844482422</c:v>
                </c:pt>
                <c:pt idx="39">
                  <c:v>-203.51991271972656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F4-458B-BE30-943F0CC3CA4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SecL1!$AG$41:$AG$42</c:f>
              <c:numCache>
                <c:formatCode>General</c:formatCode>
                <c:ptCount val="2"/>
                <c:pt idx="0">
                  <c:v>4205.5160733246958</c:v>
                </c:pt>
                <c:pt idx="1">
                  <c:v>-3333.4136893486802</c:v>
                </c:pt>
              </c:numCache>
            </c:numRef>
          </c:xVal>
          <c:yVal>
            <c:numRef>
              <c:f>SecL1!$AD$41:$AD$42</c:f>
              <c:numCache>
                <c:formatCode>General</c:formatCode>
                <c:ptCount val="2"/>
                <c:pt idx="0">
                  <c:v>-220.55190538163436</c:v>
                </c:pt>
                <c:pt idx="1">
                  <c:v>-220.55596418771847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F4-458B-BE30-943F0CC3CA4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SecL1!$L$4</c:f>
              <c:numCache>
                <c:formatCode>General</c:formatCode>
                <c:ptCount val="1"/>
                <c:pt idx="0">
                  <c:v>4724.8862604774786</c:v>
                </c:pt>
              </c:numCache>
            </c:numRef>
          </c:xVal>
          <c:yVal>
            <c:numRef>
              <c:f>SecL1!$I$4</c:f>
              <c:numCache>
                <c:formatCode>General</c:formatCode>
                <c:ptCount val="1"/>
                <c:pt idx="0">
                  <c:v>-194.17897562656128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F4-458B-BE30-943F0CC3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SecL1!$AM$3:$AM$39</c:f>
              <c:numCache>
                <c:formatCode>General</c:formatCode>
                <c:ptCount val="37"/>
                <c:pt idx="0">
                  <c:v>3729.7293705027341</c:v>
                </c:pt>
                <c:pt idx="1">
                  <c:v>3741.1761851296719</c:v>
                </c:pt>
                <c:pt idx="2">
                  <c:v>3787.3324391171159</c:v>
                </c:pt>
                <c:pt idx="3">
                  <c:v>3903.3773192973467</c:v>
                </c:pt>
                <c:pt idx="4">
                  <c:v>3944.3668925587913</c:v>
                </c:pt>
                <c:pt idx="5">
                  <c:v>3889.5270763319986</c:v>
                </c:pt>
                <c:pt idx="6">
                  <c:v>3586.062233727976</c:v>
                </c:pt>
                <c:pt idx="7">
                  <c:v>3156.8477098833928</c:v>
                </c:pt>
                <c:pt idx="8">
                  <c:v>2567.4214417300918</c:v>
                </c:pt>
                <c:pt idx="9">
                  <c:v>1815.3321812768472</c:v>
                </c:pt>
                <c:pt idx="10">
                  <c:v>1018.6497854341236</c:v>
                </c:pt>
                <c:pt idx="11">
                  <c:v>229.7789104041882</c:v>
                </c:pt>
                <c:pt idx="12">
                  <c:v>-453.02443074055344</c:v>
                </c:pt>
                <c:pt idx="13">
                  <c:v>-1113.0703885935616</c:v>
                </c:pt>
                <c:pt idx="14">
                  <c:v>-1724.0316262215254</c:v>
                </c:pt>
                <c:pt idx="15">
                  <c:v>-2377.1938382369385</c:v>
                </c:pt>
                <c:pt idx="16">
                  <c:v>-3264.5882865325052</c:v>
                </c:pt>
                <c:pt idx="17">
                  <c:v>-4259.2723180777657</c:v>
                </c:pt>
                <c:pt idx="18">
                  <c:v>-4579.2507964082779</c:v>
                </c:pt>
                <c:pt idx="19">
                  <c:v>-4495.2354256553444</c:v>
                </c:pt>
                <c:pt idx="20">
                  <c:v>-3977.9605092373668</c:v>
                </c:pt>
                <c:pt idx="21">
                  <c:v>-3449.5924037073223</c:v>
                </c:pt>
                <c:pt idx="22">
                  <c:v>-3048.3596191451402</c:v>
                </c:pt>
                <c:pt idx="23">
                  <c:v>-2671.2973712308594</c:v>
                </c:pt>
                <c:pt idx="24">
                  <c:v>-2392.0094614909981</c:v>
                </c:pt>
                <c:pt idx="25">
                  <c:v>-2173.06869780742</c:v>
                </c:pt>
                <c:pt idx="26">
                  <c:v>-1939.0671763608764</c:v>
                </c:pt>
                <c:pt idx="27">
                  <c:v>-1538.4899681496133</c:v>
                </c:pt>
                <c:pt idx="28">
                  <c:v>-1028.6866989478478</c:v>
                </c:pt>
                <c:pt idx="29">
                  <c:v>-459.67692645990184</c:v>
                </c:pt>
                <c:pt idx="30">
                  <c:v>153.53802097568882</c:v>
                </c:pt>
                <c:pt idx="31">
                  <c:v>1056.9881895476171</c:v>
                </c:pt>
                <c:pt idx="32">
                  <c:v>2175.4545739713512</c:v>
                </c:pt>
                <c:pt idx="33">
                  <c:v>2932.8940232089421</c:v>
                </c:pt>
                <c:pt idx="34">
                  <c:v>3255.9091646818479</c:v>
                </c:pt>
                <c:pt idx="35">
                  <c:v>3540.1656422719543</c:v>
                </c:pt>
                <c:pt idx="36">
                  <c:v>3729.7293705027341</c:v>
                </c:pt>
              </c:numCache>
            </c:numRef>
          </c:xVal>
          <c:yVal>
            <c:numRef>
              <c:f>SecL1!$AL$3:$AL$39</c:f>
              <c:numCache>
                <c:formatCode>General</c:formatCode>
                <c:ptCount val="37"/>
                <c:pt idx="0">
                  <c:v>2016.7695207402267</c:v>
                </c:pt>
                <c:pt idx="1">
                  <c:v>2452.4294615881267</c:v>
                </c:pt>
                <c:pt idx="2">
                  <c:v>2873.6867122489075</c:v>
                </c:pt>
                <c:pt idx="3">
                  <c:v>3354.5938650617591</c:v>
                </c:pt>
                <c:pt idx="4">
                  <c:v>3792.0356806177965</c:v>
                </c:pt>
                <c:pt idx="5">
                  <c:v>4283.6572422602349</c:v>
                </c:pt>
                <c:pt idx="6">
                  <c:v>4873.0564763345546</c:v>
                </c:pt>
                <c:pt idx="7">
                  <c:v>5505.3806865717997</c:v>
                </c:pt>
                <c:pt idx="8">
                  <c:v>5955.8743752278679</c:v>
                </c:pt>
                <c:pt idx="9">
                  <c:v>6078.606193539179</c:v>
                </c:pt>
                <c:pt idx="10">
                  <c:v>5787.7352881344059</c:v>
                </c:pt>
                <c:pt idx="11">
                  <c:v>4765.6636683797351</c:v>
                </c:pt>
                <c:pt idx="12">
                  <c:v>3832.0001776338127</c:v>
                </c:pt>
                <c:pt idx="13">
                  <c:v>2929.7650486402613</c:v>
                </c:pt>
                <c:pt idx="14">
                  <c:v>2224.0277571385755</c:v>
                </c:pt>
                <c:pt idx="15">
                  <c:v>1482.5377050351178</c:v>
                </c:pt>
                <c:pt idx="16">
                  <c:v>553.28551594786234</c:v>
                </c:pt>
                <c:pt idx="17">
                  <c:v>-649.01882198729731</c:v>
                </c:pt>
                <c:pt idx="18">
                  <c:v>-2229.7480111693317</c:v>
                </c:pt>
                <c:pt idx="19">
                  <c:v>-3698.9394988623799</c:v>
                </c:pt>
                <c:pt idx="20">
                  <c:v>-4253.1801166763516</c:v>
                </c:pt>
                <c:pt idx="21">
                  <c:v>-4180.9761233947847</c:v>
                </c:pt>
                <c:pt idx="22">
                  <c:v>-4065.7542867079487</c:v>
                </c:pt>
                <c:pt idx="23">
                  <c:v>-3910.5877216832146</c:v>
                </c:pt>
                <c:pt idx="24">
                  <c:v>-3836.9424181020108</c:v>
                </c:pt>
                <c:pt idx="25">
                  <c:v>-3860.7097939130126</c:v>
                </c:pt>
                <c:pt idx="26">
                  <c:v>-3892.1220402246749</c:v>
                </c:pt>
                <c:pt idx="27">
                  <c:v>-3982.0348616879687</c:v>
                </c:pt>
                <c:pt idx="28">
                  <c:v>-3923.2663680559458</c:v>
                </c:pt>
                <c:pt idx="29">
                  <c:v>-3805.1061114862432</c:v>
                </c:pt>
                <c:pt idx="30">
                  <c:v>-3784.3138104629884</c:v>
                </c:pt>
                <c:pt idx="31">
                  <c:v>-3524.0503766742668</c:v>
                </c:pt>
                <c:pt idx="32">
                  <c:v>-2414.1375567314667</c:v>
                </c:pt>
                <c:pt idx="33">
                  <c:v>-829.20907746907187</c:v>
                </c:pt>
                <c:pt idx="34">
                  <c:v>375.44959324458034</c:v>
                </c:pt>
                <c:pt idx="35">
                  <c:v>1393.3479234675629</c:v>
                </c:pt>
                <c:pt idx="36">
                  <c:v>2016.7695207402267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D-4CF7-9B98-1A4B8FC5844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SecL1!$AQ$3:$AQ$30</c:f>
              <c:numCache>
                <c:formatCode>General</c:formatCode>
                <c:ptCount val="28"/>
                <c:pt idx="0">
                  <c:v>207.86920723281159</c:v>
                </c:pt>
                <c:pt idx="1">
                  <c:v>260.56523914612728</c:v>
                </c:pt>
                <c:pt idx="2">
                  <c:v>338.40431042630604</c:v>
                </c:pt>
                <c:pt idx="3">
                  <c:v>646.77403815337846</c:v>
                </c:pt>
                <c:pt idx="4">
                  <c:v>1125.7426190381548</c:v>
                </c:pt>
                <c:pt idx="5">
                  <c:v>1237.1355475081532</c:v>
                </c:pt>
                <c:pt idx="6">
                  <c:v>1283.5708464908423</c:v>
                </c:pt>
                <c:pt idx="7">
                  <c:v>1271.1452343764392</c:v>
                </c:pt>
                <c:pt idx="8">
                  <c:v>1294.7048784792557</c:v>
                </c:pt>
                <c:pt idx="9">
                  <c:v>1296.3342762942743</c:v>
                </c:pt>
                <c:pt idx="10">
                  <c:v>1043.8137344836143</c:v>
                </c:pt>
                <c:pt idx="11">
                  <c:v>743.06421884750409</c:v>
                </c:pt>
                <c:pt idx="12">
                  <c:v>515.5522766326975</c:v>
                </c:pt>
                <c:pt idx="13">
                  <c:v>1.4321347295767917E-12</c:v>
                </c:pt>
                <c:pt idx="14">
                  <c:v>207.86920723281156</c:v>
                </c:pt>
                <c:pt idx="15">
                  <c:v>-103.19746131707886</c:v>
                </c:pt>
                <c:pt idx="16">
                  <c:v>-773.29698511370179</c:v>
                </c:pt>
                <c:pt idx="17">
                  <c:v>-1184.8633581485683</c:v>
                </c:pt>
                <c:pt idx="18">
                  <c:v>-1563.0322483044131</c:v>
                </c:pt>
                <c:pt idx="19">
                  <c:v>-1540.0745416780317</c:v>
                </c:pt>
                <c:pt idx="20">
                  <c:v>-1442.3946583700792</c:v>
                </c:pt>
                <c:pt idx="21">
                  <c:v>-1210.8625656320839</c:v>
                </c:pt>
                <c:pt idx="22">
                  <c:v>-1064.3405877307819</c:v>
                </c:pt>
                <c:pt idx="23">
                  <c:v>-863.38355582316581</c:v>
                </c:pt>
                <c:pt idx="24">
                  <c:v>-631.25267220500859</c:v>
                </c:pt>
                <c:pt idx="25">
                  <c:v>-305.23402994630305</c:v>
                </c:pt>
                <c:pt idx="26">
                  <c:v>-81.696463320181849</c:v>
                </c:pt>
                <c:pt idx="27">
                  <c:v>1.4663038810214671E-12</c:v>
                </c:pt>
              </c:numCache>
            </c:numRef>
          </c:xVal>
          <c:yVal>
            <c:numRef>
              <c:f>SecL1!$AP$3:$AP$30</c:f>
              <c:numCache>
                <c:formatCode>General</c:formatCode>
                <c:ptCount val="28"/>
                <c:pt idx="0">
                  <c:v>375.76356692085272</c:v>
                </c:pt>
                <c:pt idx="1">
                  <c:v>1315.074638805324</c:v>
                </c:pt>
                <c:pt idx="2">
                  <c:v>3428.4316031535163</c:v>
                </c:pt>
                <c:pt idx="3">
                  <c:v>4791.0756508512832</c:v>
                </c:pt>
                <c:pt idx="4">
                  <c:v>6003.1694265222986</c:v>
                </c:pt>
                <c:pt idx="5">
                  <c:v>5532.3261011458026</c:v>
                </c:pt>
                <c:pt idx="6">
                  <c:v>4762.0090337352922</c:v>
                </c:pt>
                <c:pt idx="7">
                  <c:v>4316.9536553136695</c:v>
                </c:pt>
                <c:pt idx="8">
                  <c:v>3927.6222595158492</c:v>
                </c:pt>
                <c:pt idx="9">
                  <c:v>3465.4916147084468</c:v>
                </c:pt>
                <c:pt idx="10">
                  <c:v>2944.9088518177296</c:v>
                </c:pt>
                <c:pt idx="11">
                  <c:v>2219.8742179190904</c:v>
                </c:pt>
                <c:pt idx="12">
                  <c:v>1586.0653508491882</c:v>
                </c:pt>
                <c:pt idx="13">
                  <c:v>-1.105517819669354E-12</c:v>
                </c:pt>
                <c:pt idx="14">
                  <c:v>375.76356692085272</c:v>
                </c:pt>
                <c:pt idx="15">
                  <c:v>-493.49755938843481</c:v>
                </c:pt>
                <c:pt idx="16">
                  <c:v>-2358.7278538795231</c:v>
                </c:pt>
                <c:pt idx="17">
                  <c:v>-3461.9774849943851</c:v>
                </c:pt>
                <c:pt idx="18">
                  <c:v>-4534.092764460077</c:v>
                </c:pt>
                <c:pt idx="19">
                  <c:v>-4445.4249271137187</c:v>
                </c:pt>
                <c:pt idx="20">
                  <c:v>-4196.7400102697229</c:v>
                </c:pt>
                <c:pt idx="21">
                  <c:v>-3987.7702511480547</c:v>
                </c:pt>
                <c:pt idx="22">
                  <c:v>-3911.6096137969207</c:v>
                </c:pt>
                <c:pt idx="23">
                  <c:v>-3735.7798738509114</c:v>
                </c:pt>
                <c:pt idx="24">
                  <c:v>-3347.264823947658</c:v>
                </c:pt>
                <c:pt idx="25">
                  <c:v>-2506.1935190741083</c:v>
                </c:pt>
                <c:pt idx="26">
                  <c:v>-1611.0443954338177</c:v>
                </c:pt>
                <c:pt idx="27">
                  <c:v>-3.8170963540735184E-13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D-4CF7-9B98-1A4B8FC5844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SecL1!$S$3:$S$42</c:f>
              <c:numCache>
                <c:formatCode>General</c:formatCode>
                <c:ptCount val="40"/>
                <c:pt idx="0">
                  <c:v>746.16998291015625</c:v>
                </c:pt>
                <c:pt idx="1">
                  <c:v>1161.10400390625</c:v>
                </c:pt>
                <c:pt idx="2">
                  <c:v>17.301162719726563</c:v>
                </c:pt>
                <c:pt idx="3">
                  <c:v>17.845218658447266</c:v>
                </c:pt>
                <c:pt idx="4">
                  <c:v>39.045375823974609</c:v>
                </c:pt>
                <c:pt idx="5">
                  <c:v>26.148242950439453</c:v>
                </c:pt>
                <c:pt idx="6">
                  <c:v>26.592620849609375</c:v>
                </c:pt>
                <c:pt idx="7">
                  <c:v>27.013982772827148</c:v>
                </c:pt>
                <c:pt idx="8">
                  <c:v>25.492536544799805</c:v>
                </c:pt>
                <c:pt idx="9">
                  <c:v>18.138359069824219</c:v>
                </c:pt>
                <c:pt idx="10">
                  <c:v>25.297758102416992</c:v>
                </c:pt>
                <c:pt idx="11">
                  <c:v>25.719120025634766</c:v>
                </c:pt>
                <c:pt idx="12">
                  <c:v>21.481056213378906</c:v>
                </c:pt>
                <c:pt idx="13">
                  <c:v>16.033361434936523</c:v>
                </c:pt>
                <c:pt idx="14">
                  <c:v>1156.1134033203125</c:v>
                </c:pt>
                <c:pt idx="15">
                  <c:v>17.264860153198242</c:v>
                </c:pt>
                <c:pt idx="16">
                  <c:v>10.07670783996582</c:v>
                </c:pt>
                <c:pt idx="17">
                  <c:v>20.825349807739258</c:v>
                </c:pt>
                <c:pt idx="18">
                  <c:v>13.63719654083252</c:v>
                </c:pt>
                <c:pt idx="19">
                  <c:v>14.868695259094238</c:v>
                </c:pt>
                <c:pt idx="20">
                  <c:v>9.4210004806518555</c:v>
                </c:pt>
                <c:pt idx="21">
                  <c:v>5.1829361915588379</c:v>
                </c:pt>
                <c:pt idx="22">
                  <c:v>5.6043000221252441</c:v>
                </c:pt>
                <c:pt idx="23">
                  <c:v>12.763696670532227</c:v>
                </c:pt>
                <c:pt idx="24">
                  <c:v>5.4095206260681152</c:v>
                </c:pt>
                <c:pt idx="25">
                  <c:v>3.8880734443664551</c:v>
                </c:pt>
                <c:pt idx="26">
                  <c:v>4.3094367980957031</c:v>
                </c:pt>
                <c:pt idx="27">
                  <c:v>4.7538132667541504</c:v>
                </c:pt>
                <c:pt idx="28">
                  <c:v>-8.1433172225952148</c:v>
                </c:pt>
                <c:pt idx="29">
                  <c:v>13.056838989257813</c:v>
                </c:pt>
                <c:pt idx="30">
                  <c:v>739.99456787109375</c:v>
                </c:pt>
                <c:pt idx="31">
                  <c:v>-715.2679443359375</c:v>
                </c:pt>
                <c:pt idx="32">
                  <c:v>14.428714752197266</c:v>
                </c:pt>
                <c:pt idx="33">
                  <c:v>-1137.40185546875</c:v>
                </c:pt>
                <c:pt idx="34">
                  <c:v>-1142.3924560546875</c:v>
                </c:pt>
                <c:pt idx="35">
                  <c:v>-933.41748046875</c:v>
                </c:pt>
                <c:pt idx="36">
                  <c:v>960.7196044921875</c:v>
                </c:pt>
                <c:pt idx="37">
                  <c:v>13.473413467407227</c:v>
                </c:pt>
                <c:pt idx="38">
                  <c:v>-939.00054931640625</c:v>
                </c:pt>
                <c:pt idx="39">
                  <c:v>352.15841674804688</c:v>
                </c:pt>
              </c:numCache>
            </c:numRef>
          </c:xVal>
          <c:yVal>
            <c:numRef>
              <c:f>SecL1!$R$3:$R$42</c:f>
              <c:numCache>
                <c:formatCode>General</c:formatCode>
                <c:ptCount val="40"/>
                <c:pt idx="0">
                  <c:v>1899.5633544921875</c:v>
                </c:pt>
                <c:pt idx="1">
                  <c:v>-1394.5313720703125</c:v>
                </c:pt>
                <c:pt idx="2">
                  <c:v>1772.7008056640625</c:v>
                </c:pt>
                <c:pt idx="3">
                  <c:v>1676.9306640625</c:v>
                </c:pt>
                <c:pt idx="4">
                  <c:v>1509.0343017578125</c:v>
                </c:pt>
                <c:pt idx="5">
                  <c:v>1504.3433837890625</c:v>
                </c:pt>
                <c:pt idx="6">
                  <c:v>1502.942626953125</c:v>
                </c:pt>
                <c:pt idx="7">
                  <c:v>1501.9039306640625</c:v>
                </c:pt>
                <c:pt idx="8">
                  <c:v>1500.7325439453125</c:v>
                </c:pt>
                <c:pt idx="9">
                  <c:v>1499.5281982421875</c:v>
                </c:pt>
                <c:pt idx="10">
                  <c:v>1499.1710205078125</c:v>
                </c:pt>
                <c:pt idx="11">
                  <c:v>1498.1324462890625</c:v>
                </c:pt>
                <c:pt idx="12">
                  <c:v>1496.823486328125</c:v>
                </c:pt>
                <c:pt idx="13">
                  <c:v>1496.6875</c:v>
                </c:pt>
                <c:pt idx="14">
                  <c:v>-1057.4520263671875</c:v>
                </c:pt>
                <c:pt idx="15">
                  <c:v>1494.718017578125</c:v>
                </c:pt>
                <c:pt idx="16">
                  <c:v>1493.7489013671875</c:v>
                </c:pt>
                <c:pt idx="17">
                  <c:v>1493.212646484375</c:v>
                </c:pt>
                <c:pt idx="18">
                  <c:v>1492.2435302734375</c:v>
                </c:pt>
                <c:pt idx="19">
                  <c:v>1490.27392578125</c:v>
                </c:pt>
                <c:pt idx="20">
                  <c:v>1490.1380615234375</c:v>
                </c:pt>
                <c:pt idx="21">
                  <c:v>1488.8291015625</c:v>
                </c:pt>
                <c:pt idx="22">
                  <c:v>1487.79052734375</c:v>
                </c:pt>
                <c:pt idx="23">
                  <c:v>1487.433349609375</c:v>
                </c:pt>
                <c:pt idx="24">
                  <c:v>1486.22900390625</c:v>
                </c:pt>
                <c:pt idx="25">
                  <c:v>1485.0576171875</c:v>
                </c:pt>
                <c:pt idx="26">
                  <c:v>1484.0189208984375</c:v>
                </c:pt>
                <c:pt idx="27">
                  <c:v>1482.6181640625</c:v>
                </c:pt>
                <c:pt idx="28">
                  <c:v>1477.9271240234375</c:v>
                </c:pt>
                <c:pt idx="29">
                  <c:v>1310.0308837890625</c:v>
                </c:pt>
                <c:pt idx="30">
                  <c:v>1177.1680908203125</c:v>
                </c:pt>
                <c:pt idx="31">
                  <c:v>1087.398193359375</c:v>
                </c:pt>
                <c:pt idx="32">
                  <c:v>1199.4664306640625</c:v>
                </c:pt>
                <c:pt idx="33">
                  <c:v>-0.28983169794082642</c:v>
                </c:pt>
                <c:pt idx="34">
                  <c:v>336.78948974609375</c:v>
                </c:pt>
                <c:pt idx="35">
                  <c:v>544.88232421875</c:v>
                </c:pt>
                <c:pt idx="36">
                  <c:v>251.18789672851563</c:v>
                </c:pt>
                <c:pt idx="37">
                  <c:v>-827.5919189453125</c:v>
                </c:pt>
                <c:pt idx="38">
                  <c:v>352.224365234375</c:v>
                </c:pt>
                <c:pt idx="39">
                  <c:v>-733.01385498046875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1D-4CF7-9B98-1A4B8FC5844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SecL1!$AG$3:$AG$39</c:f>
              <c:numCache>
                <c:formatCode>General</c:formatCode>
                <c:ptCount val="37"/>
                <c:pt idx="0">
                  <c:v>3075.5698153602771</c:v>
                </c:pt>
                <c:pt idx="1">
                  <c:v>3017.8822520149824</c:v>
                </c:pt>
                <c:pt idx="2">
                  <c:v>2962.7836362068929</c:v>
                </c:pt>
                <c:pt idx="3">
                  <c:v>2891.3173634820514</c:v>
                </c:pt>
                <c:pt idx="4">
                  <c:v>2775.8893186481178</c:v>
                </c:pt>
                <c:pt idx="5">
                  <c:v>2669.4085033565216</c:v>
                </c:pt>
                <c:pt idx="6">
                  <c:v>2553.8468417946428</c:v>
                </c:pt>
                <c:pt idx="7">
                  <c:v>2478.3707540927226</c:v>
                </c:pt>
                <c:pt idx="8">
                  <c:v>2255.2833358872635</c:v>
                </c:pt>
                <c:pt idx="9">
                  <c:v>1883.838628556198</c:v>
                </c:pt>
                <c:pt idx="10">
                  <c:v>1189.4649392610293</c:v>
                </c:pt>
                <c:pt idx="11">
                  <c:v>554.31326671838667</c:v>
                </c:pt>
                <c:pt idx="12">
                  <c:v>-82.768036291716939</c:v>
                </c:pt>
                <c:pt idx="13">
                  <c:v>-781.75355668996428</c:v>
                </c:pt>
                <c:pt idx="14">
                  <c:v>-1572.3462760475495</c:v>
                </c:pt>
                <c:pt idx="15">
                  <c:v>-2358.9746908912584</c:v>
                </c:pt>
                <c:pt idx="16">
                  <c:v>-3023.9664325277772</c:v>
                </c:pt>
                <c:pt idx="17">
                  <c:v>-3621.8619715884138</c:v>
                </c:pt>
                <c:pt idx="18">
                  <c:v>-4720.964167705657</c:v>
                </c:pt>
                <c:pt idx="19">
                  <c:v>-3754.0864443941559</c:v>
                </c:pt>
                <c:pt idx="20">
                  <c:v>-3469.8619404896785</c:v>
                </c:pt>
                <c:pt idx="21">
                  <c:v>-3226.7710430241154</c:v>
                </c:pt>
                <c:pt idx="22">
                  <c:v>-2980.9293161838368</c:v>
                </c:pt>
                <c:pt idx="23">
                  <c:v>-2687.1425045437873</c:v>
                </c:pt>
                <c:pt idx="24">
                  <c:v>-2344.9386138903265</c:v>
                </c:pt>
                <c:pt idx="25">
                  <c:v>-1912.5780727024683</c:v>
                </c:pt>
                <c:pt idx="26">
                  <c:v>-1503.0569519362937</c:v>
                </c:pt>
                <c:pt idx="27">
                  <c:v>-1079.6423816452523</c:v>
                </c:pt>
                <c:pt idx="28">
                  <c:v>-623.14335100856943</c:v>
                </c:pt>
                <c:pt idx="29">
                  <c:v>-124.16847418557244</c:v>
                </c:pt>
                <c:pt idx="30">
                  <c:v>460.75941682720986</c:v>
                </c:pt>
                <c:pt idx="31">
                  <c:v>1167.2842712351799</c:v>
                </c:pt>
                <c:pt idx="32">
                  <c:v>1808.2994313453723</c:v>
                </c:pt>
                <c:pt idx="33">
                  <c:v>2305.9563383161444</c:v>
                </c:pt>
                <c:pt idx="34">
                  <c:v>2726.1591678093951</c:v>
                </c:pt>
                <c:pt idx="35">
                  <c:v>2961.7623148024782</c:v>
                </c:pt>
                <c:pt idx="36">
                  <c:v>3075.5698153602771</c:v>
                </c:pt>
              </c:numCache>
            </c:numRef>
          </c:xVal>
          <c:yVal>
            <c:numRef>
              <c:f>SecL1!$AF$3:$AF$39</c:f>
              <c:numCache>
                <c:formatCode>General</c:formatCode>
                <c:ptCount val="37"/>
                <c:pt idx="0">
                  <c:v>1706.8905199643441</c:v>
                </c:pt>
                <c:pt idx="1">
                  <c:v>2431.8514188165937</c:v>
                </c:pt>
                <c:pt idx="2">
                  <c:v>2837.3265315635322</c:v>
                </c:pt>
                <c:pt idx="3">
                  <c:v>3194.4017433941767</c:v>
                </c:pt>
                <c:pt idx="4">
                  <c:v>3532.6033737243979</c:v>
                </c:pt>
                <c:pt idx="5">
                  <c:v>3810.7565333162352</c:v>
                </c:pt>
                <c:pt idx="6">
                  <c:v>4058.2131510042836</c:v>
                </c:pt>
                <c:pt idx="7">
                  <c:v>4423.1435494442194</c:v>
                </c:pt>
                <c:pt idx="8">
                  <c:v>4855.9804743602099</c:v>
                </c:pt>
                <c:pt idx="9">
                  <c:v>5158.0368312474875</c:v>
                </c:pt>
                <c:pt idx="10">
                  <c:v>4339.2582180605132</c:v>
                </c:pt>
                <c:pt idx="11">
                  <c:v>3908.2939156839725</c:v>
                </c:pt>
                <c:pt idx="12">
                  <c:v>3419.3545051123833</c:v>
                </c:pt>
                <c:pt idx="13">
                  <c:v>2804.3054452279098</c:v>
                </c:pt>
                <c:pt idx="14">
                  <c:v>1974.6555194580751</c:v>
                </c:pt>
                <c:pt idx="15">
                  <c:v>923.58208700290277</c:v>
                </c:pt>
                <c:pt idx="16">
                  <c:v>-160.77263775565959</c:v>
                </c:pt>
                <c:pt idx="17">
                  <c:v>-1285.1080097355489</c:v>
                </c:pt>
                <c:pt idx="18">
                  <c:v>-2676.8077372123416</c:v>
                </c:pt>
                <c:pt idx="19">
                  <c:v>-2345.0713003410438</c:v>
                </c:pt>
                <c:pt idx="20">
                  <c:v>-2548.2745437334706</c:v>
                </c:pt>
                <c:pt idx="21">
                  <c:v>-2687.5724491135975</c:v>
                </c:pt>
                <c:pt idx="22">
                  <c:v>-2832.1332756108877</c:v>
                </c:pt>
                <c:pt idx="23">
                  <c:v>-3008.8874520127647</c:v>
                </c:pt>
                <c:pt idx="24">
                  <c:v>-3186.1124971657373</c:v>
                </c:pt>
                <c:pt idx="25">
                  <c:v>-3357.0978119524784</c:v>
                </c:pt>
                <c:pt idx="26">
                  <c:v>-3457.9703118202342</c:v>
                </c:pt>
                <c:pt idx="27">
                  <c:v>-3509.5348122562618</c:v>
                </c:pt>
                <c:pt idx="28">
                  <c:v>-3463.8275897135081</c:v>
                </c:pt>
                <c:pt idx="29">
                  <c:v>-3337.9852579032272</c:v>
                </c:pt>
                <c:pt idx="30">
                  <c:v>-3116.0795847083068</c:v>
                </c:pt>
                <c:pt idx="31">
                  <c:v>-2741.7616281044529</c:v>
                </c:pt>
                <c:pt idx="32">
                  <c:v>-2081.7970837860357</c:v>
                </c:pt>
                <c:pt idx="33">
                  <c:v>-1177.0797215125647</c:v>
                </c:pt>
                <c:pt idx="34">
                  <c:v>-140.87499641783626</c:v>
                </c:pt>
                <c:pt idx="35">
                  <c:v>817.94757482880777</c:v>
                </c:pt>
                <c:pt idx="36">
                  <c:v>1706.8905199643441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1D-4CF7-9B98-1A4B8FC5844C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SecL1!$K$4</c:f>
              <c:numCache>
                <c:formatCode>General</c:formatCode>
                <c:ptCount val="1"/>
                <c:pt idx="0">
                  <c:v>1279.0397863438934</c:v>
                </c:pt>
              </c:numCache>
            </c:numRef>
          </c:xVal>
          <c:yVal>
            <c:numRef>
              <c:f>SecL1!$J$4</c:f>
              <c:numCache>
                <c:formatCode>General</c:formatCode>
                <c:ptCount val="1"/>
                <c:pt idx="0">
                  <c:v>4972.30527483694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1D-4CF7-9B98-1A4B8FC58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SecL2!$C$45:$C$51</c:f>
              <c:numCache>
                <c:formatCode>General</c:formatCode>
                <c:ptCount val="7"/>
                <c:pt idx="0">
                  <c:v>-20.591952596457645</c:v>
                </c:pt>
                <c:pt idx="1">
                  <c:v>29.408047403542355</c:v>
                </c:pt>
                <c:pt idx="2">
                  <c:v>29.408047403542355</c:v>
                </c:pt>
                <c:pt idx="3">
                  <c:v>4.4080474035423549</c:v>
                </c:pt>
                <c:pt idx="4">
                  <c:v>4.4080474035423549</c:v>
                </c:pt>
                <c:pt idx="5">
                  <c:v>-20.591952596457645</c:v>
                </c:pt>
                <c:pt idx="6">
                  <c:v>-20.591952596457645</c:v>
                </c:pt>
              </c:numCache>
            </c:numRef>
          </c:xVal>
          <c:yVal>
            <c:numRef>
              <c:f>SecL2!$D$45:$D$51</c:f>
              <c:numCache>
                <c:formatCode>General</c:formatCode>
                <c:ptCount val="7"/>
                <c:pt idx="0">
                  <c:v>-22.719349134514118</c:v>
                </c:pt>
                <c:pt idx="1">
                  <c:v>-22.719349134514118</c:v>
                </c:pt>
                <c:pt idx="2">
                  <c:v>2.2806508654858817</c:v>
                </c:pt>
                <c:pt idx="3">
                  <c:v>2.2806508654858817</c:v>
                </c:pt>
                <c:pt idx="4">
                  <c:v>32.280650865485882</c:v>
                </c:pt>
                <c:pt idx="5">
                  <c:v>32.280650865485882</c:v>
                </c:pt>
                <c:pt idx="6">
                  <c:v>-22.719349134514118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EC-4E25-A6E5-F69BF8CD05A9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SecL2!$J$45:$J$53</c:f>
              <c:numCache>
                <c:formatCode>General</c:formatCode>
                <c:ptCount val="9"/>
                <c:pt idx="0">
                  <c:v>-20.591952596457645</c:v>
                </c:pt>
                <c:pt idx="1">
                  <c:v>16.686099701905732</c:v>
                </c:pt>
                <c:pt idx="2">
                  <c:v>5.7990573486019299</c:v>
                </c:pt>
                <c:pt idx="3">
                  <c:v>4.4080474035423549</c:v>
                </c:pt>
                <c:pt idx="4">
                  <c:v>4.4080474035423549</c:v>
                </c:pt>
                <c:pt idx="5">
                  <c:v>-7.2653934753626306</c:v>
                </c:pt>
                <c:pt idx="6">
                  <c:v>-20.591952596457642</c:v>
                </c:pt>
                <c:pt idx="7">
                  <c:v>-20.591952596457645</c:v>
                </c:pt>
                <c:pt idx="8">
                  <c:v>-20.591952596457645</c:v>
                </c:pt>
              </c:numCache>
            </c:numRef>
          </c:xVal>
          <c:yVal>
            <c:numRef>
              <c:f>SecL2!$K$45:$K$53</c:f>
              <c:numCache>
                <c:formatCode>General</c:formatCode>
                <c:ptCount val="9"/>
                <c:pt idx="0">
                  <c:v>-22.719349134514118</c:v>
                </c:pt>
                <c:pt idx="1">
                  <c:v>-22.719349134514118</c:v>
                </c:pt>
                <c:pt idx="2">
                  <c:v>2.2806508654858817</c:v>
                </c:pt>
                <c:pt idx="3">
                  <c:v>2.2806508654858817</c:v>
                </c:pt>
                <c:pt idx="4">
                  <c:v>5.4748378170904566</c:v>
                </c:pt>
                <c:pt idx="5">
                  <c:v>32.280650865485875</c:v>
                </c:pt>
                <c:pt idx="6">
                  <c:v>32.280650865485875</c:v>
                </c:pt>
                <c:pt idx="7">
                  <c:v>-22.719349134514118</c:v>
                </c:pt>
                <c:pt idx="8">
                  <c:v>-22.719349134514118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EC-4E25-A6E5-F69BF8CD05A9}"/>
            </c:ext>
          </c:extLst>
        </c:ser>
        <c:ser>
          <c:idx val="3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SecL2!$Z$45:$Z$72</c:f>
              <c:numCache>
                <c:formatCode>General</c:formatCode>
                <c:ptCount val="28"/>
                <c:pt idx="0">
                  <c:v>-15.591952596457645</c:v>
                </c:pt>
                <c:pt idx="1">
                  <c:v>-0.59195259645764509</c:v>
                </c:pt>
                <c:pt idx="2">
                  <c:v>24.408047403542355</c:v>
                </c:pt>
                <c:pt idx="3">
                  <c:v>24.408047403542355</c:v>
                </c:pt>
                <c:pt idx="4">
                  <c:v>-0.59195259645764509</c:v>
                </c:pt>
                <c:pt idx="5">
                  <c:v>-0.59195259645764509</c:v>
                </c:pt>
                <c:pt idx="6">
                  <c:v>-15.591952596457645</c:v>
                </c:pt>
                <c:pt idx="7">
                  <c:v>-15.591952596457645</c:v>
                </c:pt>
                <c:pt idx="8">
                  <c:v>11.908047403542355</c:v>
                </c:pt>
                <c:pt idx="9">
                  <c:v>11.908047403542355</c:v>
                </c:pt>
                <c:pt idx="10">
                  <c:v>-0.59195259645764509</c:v>
                </c:pt>
                <c:pt idx="11">
                  <c:v>-15.591952596457645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xVal>
          <c:yVal>
            <c:numRef>
              <c:f>SecL2!$AA$45:$AA$72</c:f>
              <c:numCache>
                <c:formatCode>General</c:formatCode>
                <c:ptCount val="28"/>
                <c:pt idx="0">
                  <c:v>-17.719349134514118</c:v>
                </c:pt>
                <c:pt idx="1">
                  <c:v>-17.719349134514118</c:v>
                </c:pt>
                <c:pt idx="2">
                  <c:v>-17.719349134514118</c:v>
                </c:pt>
                <c:pt idx="3">
                  <c:v>-2.7193491345141183</c:v>
                </c:pt>
                <c:pt idx="4">
                  <c:v>-2.7193491345141183</c:v>
                </c:pt>
                <c:pt idx="5">
                  <c:v>27.280650865485882</c:v>
                </c:pt>
                <c:pt idx="6">
                  <c:v>27.280650865485882</c:v>
                </c:pt>
                <c:pt idx="7">
                  <c:v>-2.7193491345141183</c:v>
                </c:pt>
                <c:pt idx="8">
                  <c:v>-17.719349134514118</c:v>
                </c:pt>
                <c:pt idx="9">
                  <c:v>-2.7193491345141183</c:v>
                </c:pt>
                <c:pt idx="10">
                  <c:v>12.280650865485882</c:v>
                </c:pt>
                <c:pt idx="11">
                  <c:v>12.280650865485882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EC-4E25-A6E5-F69BF8CD0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  <c:majorUnit val="10"/>
        <c:minorUnit val="5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SecL2!$AM$41:$AM$42</c:f>
              <c:numCache>
                <c:formatCode>General</c:formatCode>
                <c:ptCount val="2"/>
                <c:pt idx="0">
                  <c:v>1815.4433446639491</c:v>
                </c:pt>
                <c:pt idx="1">
                  <c:v>-1779.1199983475594</c:v>
                </c:pt>
              </c:numCache>
            </c:numRef>
          </c:xVal>
          <c:yVal>
            <c:numRef>
              <c:f>SecL2!$AJ$41:$AJ$42</c:f>
              <c:numCache>
                <c:formatCode>General</c:formatCode>
                <c:ptCount val="2"/>
                <c:pt idx="0">
                  <c:v>-112.75908039118276</c:v>
                </c:pt>
                <c:pt idx="1">
                  <c:v>-112.79534435555114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89-4846-87AF-20C39491B9A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SecL2!$AR$3:$AR$30</c:f>
              <c:numCache>
                <c:formatCode>General</c:formatCode>
                <c:ptCount val="28"/>
                <c:pt idx="0">
                  <c:v>73.494706915332202</c:v>
                </c:pt>
                <c:pt idx="1">
                  <c:v>315.0293987832913</c:v>
                </c:pt>
                <c:pt idx="2">
                  <c:v>886.16654308618888</c:v>
                </c:pt>
                <c:pt idx="3">
                  <c:v>1392.896138904805</c:v>
                </c:pt>
                <c:pt idx="4">
                  <c:v>1984.0852054036141</c:v>
                </c:pt>
                <c:pt idx="5">
                  <c:v>2026.6128806098202</c:v>
                </c:pt>
                <c:pt idx="6">
                  <c:v>1933.0644108020406</c:v>
                </c:pt>
                <c:pt idx="7">
                  <c:v>1833.1340276383246</c:v>
                </c:pt>
                <c:pt idx="8">
                  <c:v>1769.425295449606</c:v>
                </c:pt>
                <c:pt idx="9">
                  <c:v>1637.0959724119959</c:v>
                </c:pt>
                <c:pt idx="10">
                  <c:v>1374.2427372679308</c:v>
                </c:pt>
                <c:pt idx="11">
                  <c:v>956.79214330675666</c:v>
                </c:pt>
                <c:pt idx="12">
                  <c:v>643.50437820193463</c:v>
                </c:pt>
                <c:pt idx="13">
                  <c:v>-3.1974423109204508E-13</c:v>
                </c:pt>
                <c:pt idx="14">
                  <c:v>73.494706915332173</c:v>
                </c:pt>
                <c:pt idx="15">
                  <c:v>-184.02625773306039</c:v>
                </c:pt>
                <c:pt idx="16">
                  <c:v>-781.11999970545935</c:v>
                </c:pt>
                <c:pt idx="17">
                  <c:v>-1298.7278985697442</c:v>
                </c:pt>
                <c:pt idx="18">
                  <c:v>-1888.9106005824033</c:v>
                </c:pt>
                <c:pt idx="19">
                  <c:v>-1938.8959913322321</c:v>
                </c:pt>
                <c:pt idx="20">
                  <c:v>-1874.0184771794879</c:v>
                </c:pt>
                <c:pt idx="21">
                  <c:v>-1789.8882012736171</c:v>
                </c:pt>
                <c:pt idx="22">
                  <c:v>-1740.3322765439814</c:v>
                </c:pt>
                <c:pt idx="23">
                  <c:v>-1623.0196389590049</c:v>
                </c:pt>
                <c:pt idx="24">
                  <c:v>-1367.6191010679581</c:v>
                </c:pt>
                <c:pt idx="25">
                  <c:v>-938.96298354294163</c:v>
                </c:pt>
                <c:pt idx="26">
                  <c:v>-614.51013433185267</c:v>
                </c:pt>
                <c:pt idx="27">
                  <c:v>-2.9132252166164108E-13</c:v>
                </c:pt>
              </c:numCache>
            </c:numRef>
          </c:xVal>
          <c:yVal>
            <c:numRef>
              <c:f>SecL2!$AO$3:$AO$30</c:f>
              <c:numCache>
                <c:formatCode>General</c:formatCode>
                <c:ptCount val="28"/>
                <c:pt idx="0">
                  <c:v>142.50263629535158</c:v>
                </c:pt>
                <c:pt idx="1">
                  <c:v>129.61101623850766</c:v>
                </c:pt>
                <c:pt idx="2">
                  <c:v>97.142984290198456</c:v>
                </c:pt>
                <c:pt idx="3">
                  <c:v>62.999069041911248</c:v>
                </c:pt>
                <c:pt idx="4">
                  <c:v>16.380621348158819</c:v>
                </c:pt>
                <c:pt idx="5">
                  <c:v>-24.78248843771798</c:v>
                </c:pt>
                <c:pt idx="6">
                  <c:v>-77.468884929892056</c:v>
                </c:pt>
                <c:pt idx="7">
                  <c:v>-100.77138537334584</c:v>
                </c:pt>
                <c:pt idx="8">
                  <c:v>-134.41609147398199</c:v>
                </c:pt>
                <c:pt idx="9">
                  <c:v>-173.28080243643259</c:v>
                </c:pt>
                <c:pt idx="10">
                  <c:v>-216.4936547096346</c:v>
                </c:pt>
                <c:pt idx="11">
                  <c:v>-260.11956370588871</c:v>
                </c:pt>
                <c:pt idx="12">
                  <c:v>-264.4756192782242</c:v>
                </c:pt>
                <c:pt idx="13">
                  <c:v>-264.4756192782242</c:v>
                </c:pt>
                <c:pt idx="14">
                  <c:v>142.50263629535158</c:v>
                </c:pt>
                <c:pt idx="15">
                  <c:v>127.98850111553024</c:v>
                </c:pt>
                <c:pt idx="16">
                  <c:v>93.010546165448076</c:v>
                </c:pt>
                <c:pt idx="17">
                  <c:v>57.970094752485423</c:v>
                </c:pt>
                <c:pt idx="18">
                  <c:v>10.939591080685744</c:v>
                </c:pt>
                <c:pt idx="19">
                  <c:v>-29.192407937230712</c:v>
                </c:pt>
                <c:pt idx="20">
                  <c:v>-80.369557523414301</c:v>
                </c:pt>
                <c:pt idx="21">
                  <c:v>-102.55205294417445</c:v>
                </c:pt>
                <c:pt idx="22">
                  <c:v>-135.98178625121665</c:v>
                </c:pt>
                <c:pt idx="23">
                  <c:v>-173.538014591316</c:v>
                </c:pt>
                <c:pt idx="24">
                  <c:v>-217.2957360607966</c:v>
                </c:pt>
                <c:pt idx="25">
                  <c:v>-262.52857832743905</c:v>
                </c:pt>
                <c:pt idx="26">
                  <c:v>-264.4756192782242</c:v>
                </c:pt>
                <c:pt idx="27">
                  <c:v>-264.4756192782242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89-4846-87AF-20C39491B9A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SecL2!$U$3:$U$42</c:f>
              <c:numCache>
                <c:formatCode>General</c:formatCode>
                <c:ptCount val="40"/>
                <c:pt idx="0">
                  <c:v>1443.6675488680098</c:v>
                </c:pt>
                <c:pt idx="1">
                  <c:v>-1742.1442031473869</c:v>
                </c:pt>
                <c:pt idx="2">
                  <c:v>1618.3673315637584</c:v>
                </c:pt>
                <c:pt idx="3">
                  <c:v>1530.3446405328007</c:v>
                </c:pt>
                <c:pt idx="4">
                  <c:v>1367.9468076430776</c:v>
                </c:pt>
                <c:pt idx="5">
                  <c:v>1368.7953822960653</c:v>
                </c:pt>
                <c:pt idx="6">
                  <c:v>1367.3336940789097</c:v>
                </c:pt>
                <c:pt idx="7">
                  <c:v>1366.2131453106695</c:v>
                </c:pt>
                <c:pt idx="8">
                  <c:v>1365.7466367127195</c:v>
                </c:pt>
                <c:pt idx="9">
                  <c:v>1367.5787161110215</c:v>
                </c:pt>
                <c:pt idx="10">
                  <c:v>1364.392744777293</c:v>
                </c:pt>
                <c:pt idx="11">
                  <c:v>1363.2723079274526</c:v>
                </c:pt>
                <c:pt idx="12">
                  <c:v>1363.7643178564308</c:v>
                </c:pt>
                <c:pt idx="13">
                  <c:v>1365.814715103309</c:v>
                </c:pt>
                <c:pt idx="14">
                  <c:v>-1431.1053101479122</c:v>
                </c:pt>
                <c:pt idx="15">
                  <c:v>1363.5173291980266</c:v>
                </c:pt>
                <c:pt idx="16">
                  <c:v>1365.4987873012724</c:v>
                </c:pt>
                <c:pt idx="17">
                  <c:v>1360.7155722730852</c:v>
                </c:pt>
                <c:pt idx="18">
                  <c:v>1362.6970307570998</c:v>
                </c:pt>
                <c:pt idx="19">
                  <c:v>1360.3995329334177</c:v>
                </c:pt>
                <c:pt idx="20">
                  <c:v>1362.4500420986956</c:v>
                </c:pt>
                <c:pt idx="21">
                  <c:v>1362.9420522180583</c:v>
                </c:pt>
                <c:pt idx="22">
                  <c:v>1361.82161460668</c:v>
                </c:pt>
                <c:pt idx="23">
                  <c:v>1358.6356442248739</c:v>
                </c:pt>
                <c:pt idx="24">
                  <c:v>1360.4677230520226</c:v>
                </c:pt>
                <c:pt idx="25">
                  <c:v>1360.0012148348412</c:v>
                </c:pt>
                <c:pt idx="26">
                  <c:v>1358.8806654954478</c:v>
                </c:pt>
                <c:pt idx="27">
                  <c:v>1357.4189778494456</c:v>
                </c:pt>
                <c:pt idx="28">
                  <c:v>1358.2674396321117</c:v>
                </c:pt>
                <c:pt idx="29">
                  <c:v>1195.8697190415569</c:v>
                </c:pt>
                <c:pt idx="30">
                  <c:v>783.81553241320194</c:v>
                </c:pt>
                <c:pt idx="31">
                  <c:v>1282.5468183217251</c:v>
                </c:pt>
                <c:pt idx="32">
                  <c:v>1093.9525580147513</c:v>
                </c:pt>
                <c:pt idx="33">
                  <c:v>453.85912577930776</c:v>
                </c:pt>
                <c:pt idx="34">
                  <c:v>764.8979965371866</c:v>
                </c:pt>
                <c:pt idx="35">
                  <c:v>872.24848826167772</c:v>
                </c:pt>
                <c:pt idx="36">
                  <c:v>-153.28381069705159</c:v>
                </c:pt>
                <c:pt idx="37">
                  <c:v>-764.14513887144608</c:v>
                </c:pt>
                <c:pt idx="38">
                  <c:v>697.84195090321828</c:v>
                </c:pt>
                <c:pt idx="39">
                  <c:v>-812.65770770863719</c:v>
                </c:pt>
              </c:numCache>
            </c:numRef>
          </c:xVal>
          <c:yVal>
            <c:numRef>
              <c:f>SecL2!$Q$3:$Q$42</c:f>
              <c:numCache>
                <c:formatCode>General</c:formatCode>
                <c:ptCount val="40"/>
                <c:pt idx="0">
                  <c:v>-193.47468566894531</c:v>
                </c:pt>
                <c:pt idx="1">
                  <c:v>-195.07479858398438</c:v>
                </c:pt>
                <c:pt idx="2">
                  <c:v>-218.93733215332031</c:v>
                </c:pt>
                <c:pt idx="3">
                  <c:v>-184.29052734375</c:v>
                </c:pt>
                <c:pt idx="4">
                  <c:v>-193.10365295410156</c:v>
                </c:pt>
                <c:pt idx="5">
                  <c:v>-193.0272216796875</c:v>
                </c:pt>
                <c:pt idx="6">
                  <c:v>-192.93278503417969</c:v>
                </c:pt>
                <c:pt idx="7">
                  <c:v>-193.12612915039063</c:v>
                </c:pt>
                <c:pt idx="8">
                  <c:v>-193.28498840332031</c:v>
                </c:pt>
                <c:pt idx="9">
                  <c:v>-192.98037719726563</c:v>
                </c:pt>
                <c:pt idx="10">
                  <c:v>-193.08283996582031</c:v>
                </c:pt>
                <c:pt idx="11">
                  <c:v>-193.27616882324219</c:v>
                </c:pt>
                <c:pt idx="12">
                  <c:v>-192.92431640625</c:v>
                </c:pt>
                <c:pt idx="13">
                  <c:v>-192.87625122070313</c:v>
                </c:pt>
                <c:pt idx="14">
                  <c:v>-114.10828399658203</c:v>
                </c:pt>
                <c:pt idx="15">
                  <c:v>-193.32376098632813</c:v>
                </c:pt>
                <c:pt idx="16">
                  <c:v>-193.02825927734375</c:v>
                </c:pt>
                <c:pt idx="17">
                  <c:v>-193.18208312988281</c:v>
                </c:pt>
                <c:pt idx="18">
                  <c:v>-192.88658142089844</c:v>
                </c:pt>
                <c:pt idx="19">
                  <c:v>-193.33409118652344</c:v>
                </c:pt>
                <c:pt idx="20">
                  <c:v>-193.28602600097656</c:v>
                </c:pt>
                <c:pt idx="21">
                  <c:v>-192.93417358398438</c:v>
                </c:pt>
                <c:pt idx="22">
                  <c:v>-193.12751770019531</c:v>
                </c:pt>
                <c:pt idx="23">
                  <c:v>-193.22996520996094</c:v>
                </c:pt>
                <c:pt idx="24">
                  <c:v>-192.92535400390625</c:v>
                </c:pt>
                <c:pt idx="25">
                  <c:v>-193.08421325683594</c:v>
                </c:pt>
                <c:pt idx="26">
                  <c:v>-193.27755737304688</c:v>
                </c:pt>
                <c:pt idx="27">
                  <c:v>-193.18312072753906</c:v>
                </c:pt>
                <c:pt idx="28">
                  <c:v>-193.10670471191406</c:v>
                </c:pt>
                <c:pt idx="29">
                  <c:v>-201.91981506347656</c:v>
                </c:pt>
                <c:pt idx="30">
                  <c:v>-112.908203125</c:v>
                </c:pt>
                <c:pt idx="31">
                  <c:v>-192.73565673828125</c:v>
                </c:pt>
                <c:pt idx="32">
                  <c:v>-175.0601806640625</c:v>
                </c:pt>
                <c:pt idx="33">
                  <c:v>-194.33576965332031</c:v>
                </c:pt>
                <c:pt idx="34">
                  <c:v>-113.36925506591797</c:v>
                </c:pt>
                <c:pt idx="35">
                  <c:v>-193.53570556640625</c:v>
                </c:pt>
                <c:pt idx="36">
                  <c:v>-194.27473449707031</c:v>
                </c:pt>
                <c:pt idx="37">
                  <c:v>-220.53742980957031</c:v>
                </c:pt>
                <c:pt idx="38">
                  <c:v>-112.76921844482422</c:v>
                </c:pt>
                <c:pt idx="39">
                  <c:v>-203.51991271972656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89-4846-87AF-20C39491B9A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SecL2!$AG$41:$AG$42</c:f>
              <c:numCache>
                <c:formatCode>General</c:formatCode>
                <c:ptCount val="2"/>
                <c:pt idx="0">
                  <c:v>1342.7392939851029</c:v>
                </c:pt>
                <c:pt idx="1">
                  <c:v>-1342.9033755458042</c:v>
                </c:pt>
              </c:numCache>
            </c:numRef>
          </c:xVal>
          <c:yVal>
            <c:numRef>
              <c:f>SecL2!$AD$41:$AD$42</c:f>
              <c:numCache>
                <c:formatCode>General</c:formatCode>
                <c:ptCount val="2"/>
                <c:pt idx="0">
                  <c:v>-220.52020812114785</c:v>
                </c:pt>
                <c:pt idx="1">
                  <c:v>-220.53723884608746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89-4846-87AF-20C39491B9AC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SecL2!$L$4</c:f>
              <c:numCache>
                <c:formatCode>General</c:formatCode>
                <c:ptCount val="1"/>
                <c:pt idx="0">
                  <c:v>1484.3441901451961</c:v>
                </c:pt>
              </c:numCache>
            </c:numRef>
          </c:xVal>
          <c:yVal>
            <c:numRef>
              <c:f>SecL2!$I$4</c:f>
              <c:numCache>
                <c:formatCode>General</c:formatCode>
                <c:ptCount val="1"/>
                <c:pt idx="0">
                  <c:v>-200.92582382955612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89-4846-87AF-20C39491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SecL2!$AM$3:$AM$39</c:f>
              <c:numCache>
                <c:formatCode>General</c:formatCode>
                <c:ptCount val="37"/>
                <c:pt idx="0">
                  <c:v>2396.3184298845968</c:v>
                </c:pt>
                <c:pt idx="1">
                  <c:v>2361.5321309494839</c:v>
                </c:pt>
                <c:pt idx="2">
                  <c:v>2350.3172695709491</c:v>
                </c:pt>
                <c:pt idx="3">
                  <c:v>2335.8472334661428</c:v>
                </c:pt>
                <c:pt idx="4">
                  <c:v>2280.2195989302299</c:v>
                </c:pt>
                <c:pt idx="5">
                  <c:v>2227.1082073779467</c:v>
                </c:pt>
                <c:pt idx="6">
                  <c:v>2206.8072510748921</c:v>
                </c:pt>
                <c:pt idx="7">
                  <c:v>2083.5560293747117</c:v>
                </c:pt>
                <c:pt idx="8">
                  <c:v>1729.4369032649427</c:v>
                </c:pt>
                <c:pt idx="9">
                  <c:v>1246.508724751094</c:v>
                </c:pt>
                <c:pt idx="10">
                  <c:v>476.00463233068012</c:v>
                </c:pt>
                <c:pt idx="11">
                  <c:v>-81.190551745091028</c:v>
                </c:pt>
                <c:pt idx="12">
                  <c:v>-651.50106859361676</c:v>
                </c:pt>
                <c:pt idx="13">
                  <c:v>-1157.6539680972689</c:v>
                </c:pt>
                <c:pt idx="14">
                  <c:v>-1588.1457735980789</c:v>
                </c:pt>
                <c:pt idx="15">
                  <c:v>-2009.6126970157218</c:v>
                </c:pt>
                <c:pt idx="16">
                  <c:v>-2479.312498227232</c:v>
                </c:pt>
                <c:pt idx="17">
                  <c:v>-2996.7298357624272</c:v>
                </c:pt>
                <c:pt idx="18">
                  <c:v>-3573.4067163692102</c:v>
                </c:pt>
                <c:pt idx="19">
                  <c:v>-3260.417359286263</c:v>
                </c:pt>
                <c:pt idx="20">
                  <c:v>-2891.8155184199763</c:v>
                </c:pt>
                <c:pt idx="21">
                  <c:v>-2571.3674305746817</c:v>
                </c:pt>
                <c:pt idx="22">
                  <c:v>-2252.0054877019124</c:v>
                </c:pt>
                <c:pt idx="23">
                  <c:v>-1979.3282601286937</c:v>
                </c:pt>
                <c:pt idx="24">
                  <c:v>-1782.3782842234871</c:v>
                </c:pt>
                <c:pt idx="25">
                  <c:v>-1591.924793990027</c:v>
                </c:pt>
                <c:pt idx="26">
                  <c:v>-1366.1837860749324</c:v>
                </c:pt>
                <c:pt idx="27">
                  <c:v>-969.87595068572728</c:v>
                </c:pt>
                <c:pt idx="28">
                  <c:v>-511.13796741584588</c:v>
                </c:pt>
                <c:pt idx="29">
                  <c:v>1.8723260581407952</c:v>
                </c:pt>
                <c:pt idx="30">
                  <c:v>599.07708357366096</c:v>
                </c:pt>
                <c:pt idx="31">
                  <c:v>1378.7922195658634</c:v>
                </c:pt>
                <c:pt idx="32">
                  <c:v>1814.1887324278689</c:v>
                </c:pt>
                <c:pt idx="33">
                  <c:v>2071.3426274177214</c:v>
                </c:pt>
                <c:pt idx="34">
                  <c:v>2262.5581506461635</c:v>
                </c:pt>
                <c:pt idx="35">
                  <c:v>2351.4624042324926</c:v>
                </c:pt>
                <c:pt idx="36">
                  <c:v>2396.3184298845968</c:v>
                </c:pt>
              </c:numCache>
            </c:numRef>
          </c:xVal>
          <c:yVal>
            <c:numRef>
              <c:f>SecL2!$AL$3:$AL$39</c:f>
              <c:numCache>
                <c:formatCode>General</c:formatCode>
                <c:ptCount val="37"/>
                <c:pt idx="0">
                  <c:v>945.70091693397001</c:v>
                </c:pt>
                <c:pt idx="1">
                  <c:v>1197.1599725405326</c:v>
                </c:pt>
                <c:pt idx="2">
                  <c:v>1338.7117019175869</c:v>
                </c:pt>
                <c:pt idx="3">
                  <c:v>1483.7306882978853</c:v>
                </c:pt>
                <c:pt idx="4">
                  <c:v>1642.3137920669344</c:v>
                </c:pt>
                <c:pt idx="5">
                  <c:v>1842.7391698515812</c:v>
                </c:pt>
                <c:pt idx="6">
                  <c:v>2139.5574515705912</c:v>
                </c:pt>
                <c:pt idx="7">
                  <c:v>2448.1541060071891</c:v>
                </c:pt>
                <c:pt idx="8">
                  <c:v>2795.1405770392284</c:v>
                </c:pt>
                <c:pt idx="9">
                  <c:v>3249.1986786039674</c:v>
                </c:pt>
                <c:pt idx="10">
                  <c:v>2521.040561683451</c:v>
                </c:pt>
                <c:pt idx="11">
                  <c:v>1989.6663701464793</c:v>
                </c:pt>
                <c:pt idx="12">
                  <c:v>1597.22726744903</c:v>
                </c:pt>
                <c:pt idx="13">
                  <c:v>1190.9812729150892</c:v>
                </c:pt>
                <c:pt idx="14">
                  <c:v>790.405863664869</c:v>
                </c:pt>
                <c:pt idx="15">
                  <c:v>331.37337913694677</c:v>
                </c:pt>
                <c:pt idx="16">
                  <c:v>-105.45434770925959</c:v>
                </c:pt>
                <c:pt idx="17">
                  <c:v>-549.21286376043645</c:v>
                </c:pt>
                <c:pt idx="18">
                  <c:v>-1114.5900059482319</c:v>
                </c:pt>
                <c:pt idx="19">
                  <c:v>-1525.4388526688692</c:v>
                </c:pt>
                <c:pt idx="20">
                  <c:v>-1807.8446460316816</c:v>
                </c:pt>
                <c:pt idx="21">
                  <c:v>-1892.4011143221137</c:v>
                </c:pt>
                <c:pt idx="22">
                  <c:v>-1896.2777427280155</c:v>
                </c:pt>
                <c:pt idx="23">
                  <c:v>-1899.3587397283629</c:v>
                </c:pt>
                <c:pt idx="24">
                  <c:v>-1960.5435853832496</c:v>
                </c:pt>
                <c:pt idx="25">
                  <c:v>-1993.6926165833424</c:v>
                </c:pt>
                <c:pt idx="26">
                  <c:v>-2029.3474174035571</c:v>
                </c:pt>
                <c:pt idx="27">
                  <c:v>-2090.0020090816311</c:v>
                </c:pt>
                <c:pt idx="28">
                  <c:v>-2040.7447559666807</c:v>
                </c:pt>
                <c:pt idx="29">
                  <c:v>-1921.8172586133001</c:v>
                </c:pt>
                <c:pt idx="30">
                  <c:v>-1722.079862679944</c:v>
                </c:pt>
                <c:pt idx="31">
                  <c:v>-1415.3191779176348</c:v>
                </c:pt>
                <c:pt idx="32">
                  <c:v>-715.07561937814251</c:v>
                </c:pt>
                <c:pt idx="33">
                  <c:v>-189.60998939193311</c:v>
                </c:pt>
                <c:pt idx="34">
                  <c:v>247.19853346836425</c:v>
                </c:pt>
                <c:pt idx="35">
                  <c:v>609.1095329165712</c:v>
                </c:pt>
                <c:pt idx="36">
                  <c:v>945.70091693397001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D-45B5-87EC-351FBE59011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SecL2!$AQ$3:$AQ$30</c:f>
              <c:numCache>
                <c:formatCode>General</c:formatCode>
                <c:ptCount val="28"/>
                <c:pt idx="0">
                  <c:v>31.257829937365546</c:v>
                </c:pt>
                <c:pt idx="1">
                  <c:v>-112.1197978663934</c:v>
                </c:pt>
                <c:pt idx="2">
                  <c:v>-438.82305766775983</c:v>
                </c:pt>
                <c:pt idx="3">
                  <c:v>-646.89499946264402</c:v>
                </c:pt>
                <c:pt idx="4">
                  <c:v>-821.09325753209782</c:v>
                </c:pt>
                <c:pt idx="5">
                  <c:v>-726.40574656657668</c:v>
                </c:pt>
                <c:pt idx="6">
                  <c:v>-433.50310556683678</c:v>
                </c:pt>
                <c:pt idx="7">
                  <c:v>-322.17767962718528</c:v>
                </c:pt>
                <c:pt idx="8">
                  <c:v>-214.98069316991692</c:v>
                </c:pt>
                <c:pt idx="9">
                  <c:v>-85.562460524068285</c:v>
                </c:pt>
                <c:pt idx="10">
                  <c:v>73.562475559057503</c:v>
                </c:pt>
                <c:pt idx="11">
                  <c:v>161.14073619149985</c:v>
                </c:pt>
                <c:pt idx="12">
                  <c:v>70.820295505370169</c:v>
                </c:pt>
                <c:pt idx="13">
                  <c:v>-4.8229013767199259E-14</c:v>
                </c:pt>
                <c:pt idx="14">
                  <c:v>31.257829937365521</c:v>
                </c:pt>
                <c:pt idx="15">
                  <c:v>-33.35383929052562</c:v>
                </c:pt>
                <c:pt idx="16">
                  <c:v>-87.830690677049049</c:v>
                </c:pt>
                <c:pt idx="17">
                  <c:v>-249.05642026570152</c:v>
                </c:pt>
                <c:pt idx="18">
                  <c:v>-298.13953014019927</c:v>
                </c:pt>
                <c:pt idx="19">
                  <c:v>-131.99266225421005</c:v>
                </c:pt>
                <c:pt idx="20">
                  <c:v>86.049669200750586</c:v>
                </c:pt>
                <c:pt idx="21">
                  <c:v>182.90848380970806</c:v>
                </c:pt>
                <c:pt idx="22">
                  <c:v>261.8606773725075</c:v>
                </c:pt>
                <c:pt idx="23">
                  <c:v>355.07265384272853</c:v>
                </c:pt>
                <c:pt idx="24">
                  <c:v>485.30391745098979</c:v>
                </c:pt>
                <c:pt idx="25">
                  <c:v>435.99284299010679</c:v>
                </c:pt>
                <c:pt idx="26">
                  <c:v>293.63641093821093</c:v>
                </c:pt>
                <c:pt idx="27">
                  <c:v>1.293439292324454E-13</c:v>
                </c:pt>
              </c:numCache>
            </c:numRef>
          </c:xVal>
          <c:yVal>
            <c:numRef>
              <c:f>SecL2!$AP$3:$AP$30</c:f>
              <c:numCache>
                <c:formatCode>General</c:formatCode>
                <c:ptCount val="28"/>
                <c:pt idx="0">
                  <c:v>93.773489812096685</c:v>
                </c:pt>
                <c:pt idx="1">
                  <c:v>294.77901862994935</c:v>
                </c:pt>
                <c:pt idx="2">
                  <c:v>775.44967743660777</c:v>
                </c:pt>
                <c:pt idx="3">
                  <c:v>1237.532264426866</c:v>
                </c:pt>
                <c:pt idx="4">
                  <c:v>1806.4868550578371</c:v>
                </c:pt>
                <c:pt idx="5">
                  <c:v>1894.1068154242823</c:v>
                </c:pt>
                <c:pt idx="6">
                  <c:v>1919.6264736973349</c:v>
                </c:pt>
                <c:pt idx="7">
                  <c:v>1859.1117737207521</c:v>
                </c:pt>
                <c:pt idx="8">
                  <c:v>1836.3064644709511</c:v>
                </c:pt>
                <c:pt idx="9">
                  <c:v>1748.3330622823885</c:v>
                </c:pt>
                <c:pt idx="10">
                  <c:v>1530.9328886887095</c:v>
                </c:pt>
                <c:pt idx="11">
                  <c:v>1113.7548457760172</c:v>
                </c:pt>
                <c:pt idx="12">
                  <c:v>732.71642317801707</c:v>
                </c:pt>
                <c:pt idx="13">
                  <c:v>-3.6975049687820295E-13</c:v>
                </c:pt>
                <c:pt idx="14">
                  <c:v>93.773489812096642</c:v>
                </c:pt>
                <c:pt idx="15">
                  <c:v>-215.24392872262834</c:v>
                </c:pt>
                <c:pt idx="16">
                  <c:v>-890.22262118885715</c:v>
                </c:pt>
                <c:pt idx="17">
                  <c:v>-1524.9926377291026</c:v>
                </c:pt>
                <c:pt idx="18">
                  <c:v>-2190.0845267762597</c:v>
                </c:pt>
                <c:pt idx="19">
                  <c:v>-2172.2500812043768</c:v>
                </c:pt>
                <c:pt idx="20">
                  <c:v>-2006.5342027579734</c:v>
                </c:pt>
                <c:pt idx="21">
                  <c:v>-1872.5923830439085</c:v>
                </c:pt>
                <c:pt idx="22">
                  <c:v>-1784.1590962016176</c:v>
                </c:pt>
                <c:pt idx="23">
                  <c:v>-1615.6131348491547</c:v>
                </c:pt>
                <c:pt idx="24">
                  <c:v>-1280.3323509675176</c:v>
                </c:pt>
                <c:pt idx="25">
                  <c:v>-834.26769292270194</c:v>
                </c:pt>
                <c:pt idx="26">
                  <c:v>-542.37794062821968</c:v>
                </c:pt>
                <c:pt idx="27">
                  <c:v>-2.6142094022810426E-13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D-45B5-87EC-351FBE59011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SecL2!$S$3:$S$42</c:f>
              <c:numCache>
                <c:formatCode>General</c:formatCode>
                <c:ptCount val="40"/>
                <c:pt idx="0">
                  <c:v>746.16998291015625</c:v>
                </c:pt>
                <c:pt idx="1">
                  <c:v>1161.10400390625</c:v>
                </c:pt>
                <c:pt idx="2">
                  <c:v>17.301162719726563</c:v>
                </c:pt>
                <c:pt idx="3">
                  <c:v>17.845218658447266</c:v>
                </c:pt>
                <c:pt idx="4">
                  <c:v>39.045375823974609</c:v>
                </c:pt>
                <c:pt idx="5">
                  <c:v>26.148242950439453</c:v>
                </c:pt>
                <c:pt idx="6">
                  <c:v>26.592620849609375</c:v>
                </c:pt>
                <c:pt idx="7">
                  <c:v>27.013982772827148</c:v>
                </c:pt>
                <c:pt idx="8">
                  <c:v>25.492536544799805</c:v>
                </c:pt>
                <c:pt idx="9">
                  <c:v>18.138359069824219</c:v>
                </c:pt>
                <c:pt idx="10">
                  <c:v>25.297758102416992</c:v>
                </c:pt>
                <c:pt idx="11">
                  <c:v>25.719120025634766</c:v>
                </c:pt>
                <c:pt idx="12">
                  <c:v>21.481056213378906</c:v>
                </c:pt>
                <c:pt idx="13">
                  <c:v>16.033361434936523</c:v>
                </c:pt>
                <c:pt idx="14">
                  <c:v>1156.1134033203125</c:v>
                </c:pt>
                <c:pt idx="15">
                  <c:v>17.264860153198242</c:v>
                </c:pt>
                <c:pt idx="16">
                  <c:v>10.07670783996582</c:v>
                </c:pt>
                <c:pt idx="17">
                  <c:v>20.825349807739258</c:v>
                </c:pt>
                <c:pt idx="18">
                  <c:v>13.63719654083252</c:v>
                </c:pt>
                <c:pt idx="19">
                  <c:v>14.868695259094238</c:v>
                </c:pt>
                <c:pt idx="20">
                  <c:v>9.4210004806518555</c:v>
                </c:pt>
                <c:pt idx="21">
                  <c:v>5.1829361915588379</c:v>
                </c:pt>
                <c:pt idx="22">
                  <c:v>5.6043000221252441</c:v>
                </c:pt>
                <c:pt idx="23">
                  <c:v>12.763696670532227</c:v>
                </c:pt>
                <c:pt idx="24">
                  <c:v>5.4095206260681152</c:v>
                </c:pt>
                <c:pt idx="25">
                  <c:v>3.8880734443664551</c:v>
                </c:pt>
                <c:pt idx="26">
                  <c:v>4.3094367980957031</c:v>
                </c:pt>
                <c:pt idx="27">
                  <c:v>4.7538132667541504</c:v>
                </c:pt>
                <c:pt idx="28">
                  <c:v>-8.1433172225952148</c:v>
                </c:pt>
                <c:pt idx="29">
                  <c:v>13.056838989257813</c:v>
                </c:pt>
                <c:pt idx="30">
                  <c:v>739.99456787109375</c:v>
                </c:pt>
                <c:pt idx="31">
                  <c:v>-715.2679443359375</c:v>
                </c:pt>
                <c:pt idx="32">
                  <c:v>14.428714752197266</c:v>
                </c:pt>
                <c:pt idx="33">
                  <c:v>-1137.40185546875</c:v>
                </c:pt>
                <c:pt idx="34">
                  <c:v>-1142.3924560546875</c:v>
                </c:pt>
                <c:pt idx="35">
                  <c:v>-933.41748046875</c:v>
                </c:pt>
                <c:pt idx="36">
                  <c:v>960.7196044921875</c:v>
                </c:pt>
                <c:pt idx="37">
                  <c:v>13.473413467407227</c:v>
                </c:pt>
                <c:pt idx="38">
                  <c:v>-939.00054931640625</c:v>
                </c:pt>
                <c:pt idx="39">
                  <c:v>352.15841674804688</c:v>
                </c:pt>
              </c:numCache>
            </c:numRef>
          </c:xVal>
          <c:yVal>
            <c:numRef>
              <c:f>SecL2!$R$3:$R$42</c:f>
              <c:numCache>
                <c:formatCode>General</c:formatCode>
                <c:ptCount val="40"/>
                <c:pt idx="0">
                  <c:v>1899.5633544921875</c:v>
                </c:pt>
                <c:pt idx="1">
                  <c:v>-1394.5313720703125</c:v>
                </c:pt>
                <c:pt idx="2">
                  <c:v>1772.7008056640625</c:v>
                </c:pt>
                <c:pt idx="3">
                  <c:v>1676.9306640625</c:v>
                </c:pt>
                <c:pt idx="4">
                  <c:v>1509.0343017578125</c:v>
                </c:pt>
                <c:pt idx="5">
                  <c:v>1504.3433837890625</c:v>
                </c:pt>
                <c:pt idx="6">
                  <c:v>1502.942626953125</c:v>
                </c:pt>
                <c:pt idx="7">
                  <c:v>1501.9039306640625</c:v>
                </c:pt>
                <c:pt idx="8">
                  <c:v>1500.7325439453125</c:v>
                </c:pt>
                <c:pt idx="9">
                  <c:v>1499.5281982421875</c:v>
                </c:pt>
                <c:pt idx="10">
                  <c:v>1499.1710205078125</c:v>
                </c:pt>
                <c:pt idx="11">
                  <c:v>1498.1324462890625</c:v>
                </c:pt>
                <c:pt idx="12">
                  <c:v>1496.823486328125</c:v>
                </c:pt>
                <c:pt idx="13">
                  <c:v>1496.6875</c:v>
                </c:pt>
                <c:pt idx="14">
                  <c:v>-1057.4520263671875</c:v>
                </c:pt>
                <c:pt idx="15">
                  <c:v>1494.718017578125</c:v>
                </c:pt>
                <c:pt idx="16">
                  <c:v>1493.7489013671875</c:v>
                </c:pt>
                <c:pt idx="17">
                  <c:v>1493.212646484375</c:v>
                </c:pt>
                <c:pt idx="18">
                  <c:v>1492.2435302734375</c:v>
                </c:pt>
                <c:pt idx="19">
                  <c:v>1490.27392578125</c:v>
                </c:pt>
                <c:pt idx="20">
                  <c:v>1490.1380615234375</c:v>
                </c:pt>
                <c:pt idx="21">
                  <c:v>1488.8291015625</c:v>
                </c:pt>
                <c:pt idx="22">
                  <c:v>1487.79052734375</c:v>
                </c:pt>
                <c:pt idx="23">
                  <c:v>1487.433349609375</c:v>
                </c:pt>
                <c:pt idx="24">
                  <c:v>1486.22900390625</c:v>
                </c:pt>
                <c:pt idx="25">
                  <c:v>1485.0576171875</c:v>
                </c:pt>
                <c:pt idx="26">
                  <c:v>1484.0189208984375</c:v>
                </c:pt>
                <c:pt idx="27">
                  <c:v>1482.6181640625</c:v>
                </c:pt>
                <c:pt idx="28">
                  <c:v>1477.9271240234375</c:v>
                </c:pt>
                <c:pt idx="29">
                  <c:v>1310.0308837890625</c:v>
                </c:pt>
                <c:pt idx="30">
                  <c:v>1177.1680908203125</c:v>
                </c:pt>
                <c:pt idx="31">
                  <c:v>1087.398193359375</c:v>
                </c:pt>
                <c:pt idx="32">
                  <c:v>1199.4664306640625</c:v>
                </c:pt>
                <c:pt idx="33">
                  <c:v>-0.28983169794082642</c:v>
                </c:pt>
                <c:pt idx="34">
                  <c:v>336.78948974609375</c:v>
                </c:pt>
                <c:pt idx="35">
                  <c:v>544.88232421875</c:v>
                </c:pt>
                <c:pt idx="36">
                  <c:v>251.18789672851563</c:v>
                </c:pt>
                <c:pt idx="37">
                  <c:v>-827.5919189453125</c:v>
                </c:pt>
                <c:pt idx="38">
                  <c:v>352.224365234375</c:v>
                </c:pt>
                <c:pt idx="39">
                  <c:v>-733.01385498046875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2D-45B5-87EC-351FBE59011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SecL2!$AG$3:$AG$39</c:f>
              <c:numCache>
                <c:formatCode>General</c:formatCode>
                <c:ptCount val="37"/>
                <c:pt idx="0">
                  <c:v>1637.9110966993635</c:v>
                </c:pt>
                <c:pt idx="1">
                  <c:v>1605.9730518624217</c:v>
                </c:pt>
                <c:pt idx="2">
                  <c:v>1535.6381770122978</c:v>
                </c:pt>
                <c:pt idx="3">
                  <c:v>1429.1847406475315</c:v>
                </c:pt>
                <c:pt idx="4">
                  <c:v>1336.8070101087703</c:v>
                </c:pt>
                <c:pt idx="5">
                  <c:v>1269.3612724215329</c:v>
                </c:pt>
                <c:pt idx="6">
                  <c:v>1199.243414365724</c:v>
                </c:pt>
                <c:pt idx="7">
                  <c:v>1124.4241095071659</c:v>
                </c:pt>
                <c:pt idx="8">
                  <c:v>1033.8189409764036</c:v>
                </c:pt>
                <c:pt idx="9">
                  <c:v>939.0976107623743</c:v>
                </c:pt>
                <c:pt idx="10">
                  <c:v>718.09288815277421</c:v>
                </c:pt>
                <c:pt idx="11">
                  <c:v>261.50065503828642</c:v>
                </c:pt>
                <c:pt idx="12">
                  <c:v>-242.93230043442207</c:v>
                </c:pt>
                <c:pt idx="13">
                  <c:v>-797.03328434169168</c:v>
                </c:pt>
                <c:pt idx="14">
                  <c:v>-1321.0528650935594</c:v>
                </c:pt>
                <c:pt idx="15">
                  <c:v>-1679.4861946470312</c:v>
                </c:pt>
                <c:pt idx="16">
                  <c:v>-1925.869317332613</c:v>
                </c:pt>
                <c:pt idx="17">
                  <c:v>-2074.0344269386514</c:v>
                </c:pt>
                <c:pt idx="18">
                  <c:v>-2143.5211769563407</c:v>
                </c:pt>
                <c:pt idx="19">
                  <c:v>-2106.8395223011044</c:v>
                </c:pt>
                <c:pt idx="20">
                  <c:v>-2051.2557049548118</c:v>
                </c:pt>
                <c:pt idx="21">
                  <c:v>-1974.4211867549916</c:v>
                </c:pt>
                <c:pt idx="22">
                  <c:v>-1876.727482772314</c:v>
                </c:pt>
                <c:pt idx="23">
                  <c:v>-1752.7396241089039</c:v>
                </c:pt>
                <c:pt idx="24">
                  <c:v>-1563.3780095333505</c:v>
                </c:pt>
                <c:pt idx="25">
                  <c:v>-1272.689188043993</c:v>
                </c:pt>
                <c:pt idx="26">
                  <c:v>-896.00125954093164</c:v>
                </c:pt>
                <c:pt idx="27">
                  <c:v>-511.66777290038482</c:v>
                </c:pt>
                <c:pt idx="28">
                  <c:v>-94.354267608008783</c:v>
                </c:pt>
                <c:pt idx="29">
                  <c:v>342.19671199809983</c:v>
                </c:pt>
                <c:pt idx="30">
                  <c:v>719.37729252218492</c:v>
                </c:pt>
                <c:pt idx="31">
                  <c:v>1018.8161236625625</c:v>
                </c:pt>
                <c:pt idx="32">
                  <c:v>1228.0004605309753</c:v>
                </c:pt>
                <c:pt idx="33">
                  <c:v>1385.4350751647287</c:v>
                </c:pt>
                <c:pt idx="34">
                  <c:v>1507.8973950047473</c:v>
                </c:pt>
                <c:pt idx="35">
                  <c:v>1593.9649095915486</c:v>
                </c:pt>
                <c:pt idx="36">
                  <c:v>1637.9110966993635</c:v>
                </c:pt>
              </c:numCache>
            </c:numRef>
          </c:xVal>
          <c:yVal>
            <c:numRef>
              <c:f>SecL2!$AF$3:$AF$39</c:f>
              <c:numCache>
                <c:formatCode>General</c:formatCode>
                <c:ptCount val="37"/>
                <c:pt idx="0">
                  <c:v>499.32136051211739</c:v>
                </c:pt>
                <c:pt idx="1">
                  <c:v>785.28024017527866</c:v>
                </c:pt>
                <c:pt idx="2">
                  <c:v>1069.0285411311686</c:v>
                </c:pt>
                <c:pt idx="3">
                  <c:v>1333.6167927838324</c:v>
                </c:pt>
                <c:pt idx="4">
                  <c:v>1503.8681340423559</c:v>
                </c:pt>
                <c:pt idx="5">
                  <c:v>1615.0767979761767</c:v>
                </c:pt>
                <c:pt idx="6">
                  <c:v>1702.4581774760809</c:v>
                </c:pt>
                <c:pt idx="7">
                  <c:v>1785.0482670616459</c:v>
                </c:pt>
                <c:pt idx="8">
                  <c:v>1854.1954198276828</c:v>
                </c:pt>
                <c:pt idx="9">
                  <c:v>1886.9591842819491</c:v>
                </c:pt>
                <c:pt idx="10">
                  <c:v>1805.2970356548701</c:v>
                </c:pt>
                <c:pt idx="11">
                  <c:v>1594.9988402173988</c:v>
                </c:pt>
                <c:pt idx="12">
                  <c:v>1306.7675421787121</c:v>
                </c:pt>
                <c:pt idx="13">
                  <c:v>893.40045564610705</c:v>
                </c:pt>
                <c:pt idx="14">
                  <c:v>392.65286615079623</c:v>
                </c:pt>
                <c:pt idx="15">
                  <c:v>-41.12578777063279</c:v>
                </c:pt>
                <c:pt idx="16">
                  <c:v>-404.24735002526802</c:v>
                </c:pt>
                <c:pt idx="17">
                  <c:v>-642.07799290181913</c:v>
                </c:pt>
                <c:pt idx="18">
                  <c:v>-769.45107034911666</c:v>
                </c:pt>
                <c:pt idx="19">
                  <c:v>-842.546713204394</c:v>
                </c:pt>
                <c:pt idx="20">
                  <c:v>-911.0872579416498</c:v>
                </c:pt>
                <c:pt idx="21">
                  <c:v>-982.06446942704827</c:v>
                </c:pt>
                <c:pt idx="22">
                  <c:v>-1046.8566801707641</c:v>
                </c:pt>
                <c:pt idx="23">
                  <c:v>-1114.1326990536306</c:v>
                </c:pt>
                <c:pt idx="24">
                  <c:v>-1210.1124455581073</c:v>
                </c:pt>
                <c:pt idx="25">
                  <c:v>-1325.0779966008329</c:v>
                </c:pt>
                <c:pt idx="26">
                  <c:v>-1419.3382963020576</c:v>
                </c:pt>
                <c:pt idx="27">
                  <c:v>-1459.7181178553244</c:v>
                </c:pt>
                <c:pt idx="28">
                  <c:v>-1407.4044973115444</c:v>
                </c:pt>
                <c:pt idx="29">
                  <c:v>-1298.8885829979006</c:v>
                </c:pt>
                <c:pt idx="30">
                  <c:v>-1164.3864874888593</c:v>
                </c:pt>
                <c:pt idx="31">
                  <c:v>-977.30695932779042</c:v>
                </c:pt>
                <c:pt idx="32">
                  <c:v>-725.55461286089655</c:v>
                </c:pt>
                <c:pt idx="33">
                  <c:v>-442.7732594969998</c:v>
                </c:pt>
                <c:pt idx="34">
                  <c:v>-127.37183598682213</c:v>
                </c:pt>
                <c:pt idx="35">
                  <c:v>191.8735907035252</c:v>
                </c:pt>
                <c:pt idx="36">
                  <c:v>499.32136051211739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2D-45B5-87EC-351FBE590111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905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SecL2!$K$4</c:f>
              <c:numCache>
                <c:formatCode>General</c:formatCode>
                <c:ptCount val="1"/>
                <c:pt idx="0">
                  <c:v>17.676540659370453</c:v>
                </c:pt>
              </c:numCache>
            </c:numRef>
          </c:xVal>
          <c:yVal>
            <c:numRef>
              <c:f>SecL2!$J$4</c:f>
              <c:numCache>
                <c:formatCode>General</c:formatCode>
                <c:ptCount val="1"/>
                <c:pt idx="0">
                  <c:v>1626.6841409505907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2D-45B5-87EC-351FBE590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ComparacionSAP200!$C$45:$C$49</c:f>
              <c:numCache>
                <c:formatCode>General</c:formatCode>
                <c:ptCount val="5"/>
                <c:pt idx="0">
                  <c:v>-27.500000000000004</c:v>
                </c:pt>
                <c:pt idx="1">
                  <c:v>27.499999999999996</c:v>
                </c:pt>
                <c:pt idx="2">
                  <c:v>27.499999999999996</c:v>
                </c:pt>
                <c:pt idx="3">
                  <c:v>-27.500000000000004</c:v>
                </c:pt>
                <c:pt idx="4">
                  <c:v>-27.500000000000004</c:v>
                </c:pt>
              </c:numCache>
            </c:numRef>
          </c:xVal>
          <c:yVal>
            <c:numRef>
              <c:f>ComparacionSAP200!$D$45:$D$49</c:f>
              <c:numCache>
                <c:formatCode>General</c:formatCode>
                <c:ptCount val="5"/>
                <c:pt idx="0">
                  <c:v>-27.500000000000004</c:v>
                </c:pt>
                <c:pt idx="1">
                  <c:v>-27.500000000000004</c:v>
                </c:pt>
                <c:pt idx="2">
                  <c:v>27.499999999999996</c:v>
                </c:pt>
                <c:pt idx="3">
                  <c:v>27.499999999999996</c:v>
                </c:pt>
                <c:pt idx="4">
                  <c:v>-27.500000000000004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C-426B-9F79-C453B0E602BD}"/>
            </c:ext>
          </c:extLst>
        </c:ser>
        <c:ser>
          <c:idx val="3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587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ComparacionSAP200!$Z$45:$Z$72</c:f>
              <c:numCache>
                <c:formatCode>General</c:formatCode>
                <c:ptCount val="28"/>
                <c:pt idx="0">
                  <c:v>-22.500000000000004</c:v>
                </c:pt>
                <c:pt idx="1">
                  <c:v>22.499999999999996</c:v>
                </c:pt>
                <c:pt idx="2">
                  <c:v>-22.500000000000004</c:v>
                </c:pt>
                <c:pt idx="3">
                  <c:v>22.499999999999996</c:v>
                </c:pt>
                <c:pt idx="4">
                  <c:v>-7.5000000000000036</c:v>
                </c:pt>
                <c:pt idx="5">
                  <c:v>-7.5000000000000036</c:v>
                </c:pt>
                <c:pt idx="6">
                  <c:v>7.4999999999999964</c:v>
                </c:pt>
                <c:pt idx="7">
                  <c:v>7.4999999999999964</c:v>
                </c:pt>
                <c:pt idx="8">
                  <c:v>-22.500000000000004</c:v>
                </c:pt>
                <c:pt idx="9">
                  <c:v>22.499999999999996</c:v>
                </c:pt>
                <c:pt idx="10">
                  <c:v>-22.500000000000004</c:v>
                </c:pt>
                <c:pt idx="11">
                  <c:v>22.499999999999996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xVal>
          <c:yVal>
            <c:numRef>
              <c:f>ComparacionSAP200!$AA$45:$AA$72</c:f>
              <c:numCache>
                <c:formatCode>General</c:formatCode>
                <c:ptCount val="28"/>
                <c:pt idx="0">
                  <c:v>-22.500000000000004</c:v>
                </c:pt>
                <c:pt idx="1">
                  <c:v>-22.500000000000004</c:v>
                </c:pt>
                <c:pt idx="2">
                  <c:v>22.499999999999996</c:v>
                </c:pt>
                <c:pt idx="3">
                  <c:v>22.499999999999996</c:v>
                </c:pt>
                <c:pt idx="4">
                  <c:v>-22.500000000000004</c:v>
                </c:pt>
                <c:pt idx="5">
                  <c:v>22.499999999999996</c:v>
                </c:pt>
                <c:pt idx="6">
                  <c:v>-22.500000000000004</c:v>
                </c:pt>
                <c:pt idx="7">
                  <c:v>22.499999999999996</c:v>
                </c:pt>
                <c:pt idx="8">
                  <c:v>-7.5000000000000036</c:v>
                </c:pt>
                <c:pt idx="9">
                  <c:v>-7.5000000000000036</c:v>
                </c:pt>
                <c:pt idx="10">
                  <c:v>7.4999999999999964</c:v>
                </c:pt>
                <c:pt idx="11">
                  <c:v>7.4999999999999964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DC-426B-9F79-C453B0E6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  <c:majorUnit val="10"/>
        <c:minorUnit val="5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ComparacionSAP200!$AT$3:$AT$30</c:f>
              <c:numCache>
                <c:formatCode>General</c:formatCode>
                <c:ptCount val="28"/>
                <c:pt idx="0">
                  <c:v>-1.4210854715202016E-14</c:v>
                </c:pt>
                <c:pt idx="1">
                  <c:v>405.58457157602777</c:v>
                </c:pt>
                <c:pt idx="2">
                  <c:v>1368.005020433048</c:v>
                </c:pt>
                <c:pt idx="3">
                  <c:v>2215.7084620096557</c:v>
                </c:pt>
                <c:pt idx="4">
                  <c:v>3237.8599686324037</c:v>
                </c:pt>
                <c:pt idx="5">
                  <c:v>3391.9325701582084</c:v>
                </c:pt>
                <c:pt idx="6">
                  <c:v>3349.870375228008</c:v>
                </c:pt>
                <c:pt idx="7">
                  <c:v>3194.2742741778229</c:v>
                </c:pt>
                <c:pt idx="8">
                  <c:v>3094.0784021725494</c:v>
                </c:pt>
                <c:pt idx="9">
                  <c:v>2813.740260614542</c:v>
                </c:pt>
                <c:pt idx="10">
                  <c:v>2227.095349026466</c:v>
                </c:pt>
                <c:pt idx="11">
                  <c:v>1386.9893242020114</c:v>
                </c:pt>
                <c:pt idx="12">
                  <c:v>840.99981273011554</c:v>
                </c:pt>
                <c:pt idx="13">
                  <c:v>1.0048308974753739E-13</c:v>
                </c:pt>
                <c:pt idx="14">
                  <c:v>0</c:v>
                </c:pt>
                <c:pt idx="15">
                  <c:v>-405.58457157602811</c:v>
                </c:pt>
                <c:pt idx="16">
                  <c:v>-1368.0050204330491</c:v>
                </c:pt>
                <c:pt idx="17">
                  <c:v>-2215.7084620096557</c:v>
                </c:pt>
                <c:pt idx="18">
                  <c:v>-3237.859968632406</c:v>
                </c:pt>
                <c:pt idx="19">
                  <c:v>-3391.9325701582115</c:v>
                </c:pt>
                <c:pt idx="20">
                  <c:v>-3349.8703752280107</c:v>
                </c:pt>
                <c:pt idx="21">
                  <c:v>-3194.2742741778252</c:v>
                </c:pt>
                <c:pt idx="22">
                  <c:v>-3094.0784021725513</c:v>
                </c:pt>
                <c:pt idx="23">
                  <c:v>-2813.7402606145447</c:v>
                </c:pt>
                <c:pt idx="24">
                  <c:v>-2227.0953490264678</c:v>
                </c:pt>
                <c:pt idx="25">
                  <c:v>-1386.9893242020123</c:v>
                </c:pt>
                <c:pt idx="26">
                  <c:v>-840.99981273011554</c:v>
                </c:pt>
                <c:pt idx="27">
                  <c:v>4.8469375256487969E-14</c:v>
                </c:pt>
              </c:numCache>
            </c:numRef>
          </c:xVal>
          <c:yVal>
            <c:numRef>
              <c:f>ComparacionSAP200!$AS$3:$AS$30</c:f>
              <c:numCache>
                <c:formatCode>General</c:formatCode>
                <c:ptCount val="28"/>
                <c:pt idx="0">
                  <c:v>-2.4613922385709611E-14</c:v>
                </c:pt>
                <c:pt idx="1">
                  <c:v>-298.19356768913332</c:v>
                </c:pt>
                <c:pt idx="2">
                  <c:v>-943.69563336463455</c:v>
                </c:pt>
                <c:pt idx="3">
                  <c:v>-1487.7434974726</c:v>
                </c:pt>
                <c:pt idx="4">
                  <c:v>-1986.3996072833286</c:v>
                </c:pt>
                <c:pt idx="5">
                  <c:v>-1884.2934037028576</c:v>
                </c:pt>
                <c:pt idx="6">
                  <c:v>-1667.445588014949</c:v>
                </c:pt>
                <c:pt idx="7">
                  <c:v>-1535.1133727914241</c:v>
                </c:pt>
                <c:pt idx="8">
                  <c:v>-1461.3911728897899</c:v>
                </c:pt>
                <c:pt idx="9">
                  <c:v>-1394.2931307182671</c:v>
                </c:pt>
                <c:pt idx="10">
                  <c:v>-1294.9264498745126</c:v>
                </c:pt>
                <c:pt idx="11">
                  <c:v>-930.59580067096567</c:v>
                </c:pt>
                <c:pt idx="12">
                  <c:v>-562.06021508745459</c:v>
                </c:pt>
                <c:pt idx="13">
                  <c:v>2.218574348758459E-13</c:v>
                </c:pt>
                <c:pt idx="14">
                  <c:v>-</c:v>
                </c:pt>
                <c:pt idx="15">
                  <c:v>298.1935676891332</c:v>
                </c:pt>
                <c:pt idx="16">
                  <c:v>943.69563336463386</c:v>
                </c:pt>
                <c:pt idx="17">
                  <c:v>1487.7434974725984</c:v>
                </c:pt>
                <c:pt idx="18">
                  <c:v>1986.3996072833268</c:v>
                </c:pt>
                <c:pt idx="19">
                  <c:v>1884.2934037028554</c:v>
                </c:pt>
                <c:pt idx="20">
                  <c:v>1667.4455880149467</c:v>
                </c:pt>
                <c:pt idx="21">
                  <c:v>1535.1133727914219</c:v>
                </c:pt>
                <c:pt idx="22">
                  <c:v>1461.3911728897876</c:v>
                </c:pt>
                <c:pt idx="23">
                  <c:v>1394.2931307182646</c:v>
                </c:pt>
                <c:pt idx="24">
                  <c:v>1294.9264498745108</c:v>
                </c:pt>
                <c:pt idx="25">
                  <c:v>930.59580067096522</c:v>
                </c:pt>
                <c:pt idx="26">
                  <c:v>562.0602150874538</c:v>
                </c:pt>
                <c:pt idx="27">
                  <c:v>8.9875037707707043E-14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8C-432B-B695-3985F509C746}"/>
            </c:ext>
          </c:extLst>
        </c:ser>
        <c:ser>
          <c:idx val="4"/>
          <c:order val="1"/>
          <c:spPr>
            <a:ln w="1587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ComparacionSAP200!$AJ$3:$AJ$39</c:f>
              <c:numCache>
                <c:formatCode>General</c:formatCode>
                <c:ptCount val="37"/>
                <c:pt idx="0">
                  <c:v>4023.0019700492021</c:v>
                </c:pt>
                <c:pt idx="1">
                  <c:v>3872.9470071043734</c:v>
                </c:pt>
                <c:pt idx="2">
                  <c:v>3563.5689063417349</c:v>
                </c:pt>
                <c:pt idx="3">
                  <c:v>3194.2732550230548</c:v>
                </c:pt>
                <c:pt idx="4">
                  <c:v>2719.3219748803931</c:v>
                </c:pt>
                <c:pt idx="5">
                  <c:v>2114.9527764320364</c:v>
                </c:pt>
                <c:pt idx="6">
                  <c:v>1535.111543637443</c:v>
                </c:pt>
                <c:pt idx="7">
                  <c:v>1023.5235521848908</c:v>
                </c:pt>
                <c:pt idx="8">
                  <c:v>505.91231897233388</c:v>
                </c:pt>
                <c:pt idx="9">
                  <c:v>1.8949440541840457E-13</c:v>
                </c:pt>
                <c:pt idx="10">
                  <c:v>-505.91231897233365</c:v>
                </c:pt>
                <c:pt idx="11">
                  <c:v>-1023.5235521848904</c:v>
                </c:pt>
                <c:pt idx="12">
                  <c:v>-1535.1115436374421</c:v>
                </c:pt>
                <c:pt idx="13">
                  <c:v>-2114.9527764320364</c:v>
                </c:pt>
                <c:pt idx="14">
                  <c:v>-2719.3219748803926</c:v>
                </c:pt>
                <c:pt idx="15">
                  <c:v>-3194.2732550230548</c:v>
                </c:pt>
                <c:pt idx="16">
                  <c:v>-3563.568906341734</c:v>
                </c:pt>
                <c:pt idx="17">
                  <c:v>-3872.9470071043743</c:v>
                </c:pt>
                <c:pt idx="18">
                  <c:v>-4023.0019700492021</c:v>
                </c:pt>
                <c:pt idx="19">
                  <c:v>-3872.9470071043747</c:v>
                </c:pt>
                <c:pt idx="20">
                  <c:v>-3563.5689063417349</c:v>
                </c:pt>
                <c:pt idx="21">
                  <c:v>-3194.2732550230553</c:v>
                </c:pt>
                <c:pt idx="22">
                  <c:v>-2719.3219748803931</c:v>
                </c:pt>
                <c:pt idx="23">
                  <c:v>-2114.9527764320369</c:v>
                </c:pt>
                <c:pt idx="24">
                  <c:v>-1535.1115436374444</c:v>
                </c:pt>
                <c:pt idx="25">
                  <c:v>-1023.52355218489</c:v>
                </c:pt>
                <c:pt idx="26">
                  <c:v>-505.91231897233371</c:v>
                </c:pt>
                <c:pt idx="27">
                  <c:v>-5.7730507695060485E-13</c:v>
                </c:pt>
                <c:pt idx="28">
                  <c:v>505.91231897233234</c:v>
                </c:pt>
                <c:pt idx="29">
                  <c:v>1023.5235521848887</c:v>
                </c:pt>
                <c:pt idx="30">
                  <c:v>1535.111543637443</c:v>
                </c:pt>
                <c:pt idx="31">
                  <c:v>2114.952776432036</c:v>
                </c:pt>
                <c:pt idx="32">
                  <c:v>2719.3219748803926</c:v>
                </c:pt>
                <c:pt idx="33">
                  <c:v>3194.2732550230539</c:v>
                </c:pt>
                <c:pt idx="34">
                  <c:v>3563.5689063417353</c:v>
                </c:pt>
                <c:pt idx="35">
                  <c:v>3872.9470071043729</c:v>
                </c:pt>
                <c:pt idx="36">
                  <c:v>4023.0019700492021</c:v>
                </c:pt>
              </c:numCache>
            </c:numRef>
          </c:xVal>
          <c:yVal>
            <c:numRef>
              <c:f>ComparacionSAP200!$AI$3:$AI$39</c:f>
              <c:numCache>
                <c:formatCode>General</c:formatCode>
                <c:ptCount val="37"/>
                <c:pt idx="0">
                  <c:v>0</c:v>
                </c:pt>
                <c:pt idx="1">
                  <c:v>505.91231897233354</c:v>
                </c:pt>
                <c:pt idx="2">
                  <c:v>1023.5235521848904</c:v>
                </c:pt>
                <c:pt idx="3">
                  <c:v>1535.1115436374428</c:v>
                </c:pt>
                <c:pt idx="4">
                  <c:v>2114.952776432036</c:v>
                </c:pt>
                <c:pt idx="5">
                  <c:v>2719.3219748803936</c:v>
                </c:pt>
                <c:pt idx="6">
                  <c:v>3194.2732550230539</c:v>
                </c:pt>
                <c:pt idx="7">
                  <c:v>3563.568906341734</c:v>
                </c:pt>
                <c:pt idx="8">
                  <c:v>3872.9470071043729</c:v>
                </c:pt>
                <c:pt idx="9">
                  <c:v>4023.0019700492021</c:v>
                </c:pt>
                <c:pt idx="10">
                  <c:v>3872.9470071043743</c:v>
                </c:pt>
                <c:pt idx="11">
                  <c:v>3563.5689063417349</c:v>
                </c:pt>
                <c:pt idx="12">
                  <c:v>3194.2732550230548</c:v>
                </c:pt>
                <c:pt idx="13">
                  <c:v>2719.3219748803936</c:v>
                </c:pt>
                <c:pt idx="14">
                  <c:v>2114.9527764320364</c:v>
                </c:pt>
                <c:pt idx="15">
                  <c:v>1535.1115436374428</c:v>
                </c:pt>
                <c:pt idx="16">
                  <c:v>1023.5235521848909</c:v>
                </c:pt>
                <c:pt idx="17">
                  <c:v>505.91231897233359</c:v>
                </c:pt>
                <c:pt idx="18">
                  <c:v>3.5511693701457822E-13</c:v>
                </c:pt>
                <c:pt idx="19">
                  <c:v>-505.91231897233257</c:v>
                </c:pt>
                <c:pt idx="20">
                  <c:v>-1023.5235521848905</c:v>
                </c:pt>
                <c:pt idx="21">
                  <c:v>-1535.1115436374419</c:v>
                </c:pt>
                <c:pt idx="22">
                  <c:v>-2114.952776432036</c:v>
                </c:pt>
                <c:pt idx="23">
                  <c:v>-2719.3219748803931</c:v>
                </c:pt>
                <c:pt idx="24">
                  <c:v>-3194.2732550230535</c:v>
                </c:pt>
                <c:pt idx="25">
                  <c:v>-3563.5689063417349</c:v>
                </c:pt>
                <c:pt idx="26">
                  <c:v>-3872.9470071043734</c:v>
                </c:pt>
                <c:pt idx="27">
                  <c:v>-4023.0019700492021</c:v>
                </c:pt>
                <c:pt idx="28">
                  <c:v>-3872.9470071043738</c:v>
                </c:pt>
                <c:pt idx="29">
                  <c:v>-3563.5689063417353</c:v>
                </c:pt>
                <c:pt idx="30">
                  <c:v>-3194.2732550230539</c:v>
                </c:pt>
                <c:pt idx="31">
                  <c:v>-2719.321974880394</c:v>
                </c:pt>
                <c:pt idx="32">
                  <c:v>-2114.9527764320378</c:v>
                </c:pt>
                <c:pt idx="33">
                  <c:v>-1535.1115436374446</c:v>
                </c:pt>
                <c:pt idx="34">
                  <c:v>-1023.5235521848903</c:v>
                </c:pt>
                <c:pt idx="35">
                  <c:v>-505.91231897233365</c:v>
                </c:pt>
                <c:pt idx="3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8C-432B-B695-3985F509C746}"/>
            </c:ext>
          </c:extLst>
        </c:ser>
        <c:ser>
          <c:idx val="0"/>
          <c:order val="2"/>
          <c:spPr>
            <a:ln w="158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ComparacionSAP200!$AP$3:$AP$39</c:f>
              <c:numCache>
                <c:formatCode>General</c:formatCode>
                <c:ptCount val="37"/>
                <c:pt idx="0">
                  <c:v>3760.3463827209753</c:v>
                </c:pt>
                <c:pt idx="1">
                  <c:v>3706.8156491952832</c:v>
                </c:pt>
                <c:pt idx="2">
                  <c:v>3501.1707013071864</c:v>
                </c:pt>
                <c:pt idx="3">
                  <c:v>3237.9342775938121</c:v>
                </c:pt>
                <c:pt idx="4">
                  <c:v>2808.8371071123152</c:v>
                </c:pt>
                <c:pt idx="5">
                  <c:v>2395.5120397863561</c:v>
                </c:pt>
                <c:pt idx="6">
                  <c:v>1986.3572518388125</c:v>
                </c:pt>
                <c:pt idx="7">
                  <c:v>1387.728341176562</c:v>
                </c:pt>
                <c:pt idx="8">
                  <c:v>667.63805805827246</c:v>
                </c:pt>
                <c:pt idx="9">
                  <c:v>1.7341138920342053E-13</c:v>
                </c:pt>
                <c:pt idx="10">
                  <c:v>-667.63805805827235</c:v>
                </c:pt>
                <c:pt idx="11">
                  <c:v>-1387.7283411765618</c:v>
                </c:pt>
                <c:pt idx="12">
                  <c:v>-1986.3572518388114</c:v>
                </c:pt>
                <c:pt idx="13">
                  <c:v>-2395.5120397863557</c:v>
                </c:pt>
                <c:pt idx="14">
                  <c:v>-2808.8371071123147</c:v>
                </c:pt>
                <c:pt idx="15">
                  <c:v>-3237.9342775938117</c:v>
                </c:pt>
                <c:pt idx="16">
                  <c:v>-3501.170701307185</c:v>
                </c:pt>
                <c:pt idx="17">
                  <c:v>-3706.815649195285</c:v>
                </c:pt>
                <c:pt idx="18">
                  <c:v>-3760.3463827209757</c:v>
                </c:pt>
                <c:pt idx="19">
                  <c:v>-3706.8156491952864</c:v>
                </c:pt>
                <c:pt idx="20">
                  <c:v>-3501.1707013071868</c:v>
                </c:pt>
                <c:pt idx="21">
                  <c:v>-3237.9342775938126</c:v>
                </c:pt>
                <c:pt idx="22">
                  <c:v>-2808.8371071123147</c:v>
                </c:pt>
                <c:pt idx="23">
                  <c:v>-2395.5120397863561</c:v>
                </c:pt>
                <c:pt idx="24">
                  <c:v>-1986.3572518388132</c:v>
                </c:pt>
                <c:pt idx="25">
                  <c:v>-1387.7283411765607</c:v>
                </c:pt>
                <c:pt idx="26">
                  <c:v>-667.63805805827224</c:v>
                </c:pt>
                <c:pt idx="27">
                  <c:v>-6.4300261280786899E-13</c:v>
                </c:pt>
                <c:pt idx="28">
                  <c:v>667.63805805827087</c:v>
                </c:pt>
                <c:pt idx="29">
                  <c:v>1387.7283411765593</c:v>
                </c:pt>
                <c:pt idx="30">
                  <c:v>1986.3572518388125</c:v>
                </c:pt>
                <c:pt idx="31">
                  <c:v>2395.5120397863557</c:v>
                </c:pt>
                <c:pt idx="32">
                  <c:v>2808.8371071123142</c:v>
                </c:pt>
                <c:pt idx="33">
                  <c:v>3237.9342775938098</c:v>
                </c:pt>
                <c:pt idx="34">
                  <c:v>3501.1707013071873</c:v>
                </c:pt>
                <c:pt idx="35">
                  <c:v>3706.8156491952836</c:v>
                </c:pt>
                <c:pt idx="36">
                  <c:v>3760.3463827209753</c:v>
                </c:pt>
              </c:numCache>
            </c:numRef>
          </c:xVal>
          <c:yVal>
            <c:numRef>
              <c:f>ComparacionSAP200!$AO$3:$AO$39</c:f>
              <c:numCache>
                <c:formatCode>General</c:formatCode>
                <c:ptCount val="37"/>
                <c:pt idx="0">
                  <c:v>0</c:v>
                </c:pt>
                <c:pt idx="1">
                  <c:v>667.63805805827212</c:v>
                </c:pt>
                <c:pt idx="2">
                  <c:v>1387.7283411765618</c:v>
                </c:pt>
                <c:pt idx="3">
                  <c:v>1986.3572518388123</c:v>
                </c:pt>
                <c:pt idx="4">
                  <c:v>2395.5120397863552</c:v>
                </c:pt>
                <c:pt idx="5">
                  <c:v>2808.8371071123156</c:v>
                </c:pt>
                <c:pt idx="6">
                  <c:v>3237.9342775938107</c:v>
                </c:pt>
                <c:pt idx="7">
                  <c:v>3501.170701307185</c:v>
                </c:pt>
                <c:pt idx="8">
                  <c:v>3706.8156491952832</c:v>
                </c:pt>
                <c:pt idx="9">
                  <c:v>3760.3463827209757</c:v>
                </c:pt>
                <c:pt idx="10">
                  <c:v>3706.815649195285</c:v>
                </c:pt>
                <c:pt idx="11">
                  <c:v>3501.1707013071868</c:v>
                </c:pt>
                <c:pt idx="12">
                  <c:v>3237.9342775938117</c:v>
                </c:pt>
                <c:pt idx="13">
                  <c:v>2808.8371071123152</c:v>
                </c:pt>
                <c:pt idx="14">
                  <c:v>2395.5120397863561</c:v>
                </c:pt>
                <c:pt idx="15">
                  <c:v>1986.3572518388121</c:v>
                </c:pt>
                <c:pt idx="16">
                  <c:v>1387.7283411765623</c:v>
                </c:pt>
                <c:pt idx="17">
                  <c:v>667.63805805827212</c:v>
                </c:pt>
                <c:pt idx="18">
                  <c:v>4.961641843152286E-13</c:v>
                </c:pt>
                <c:pt idx="19">
                  <c:v>-667.63805805827121</c:v>
                </c:pt>
                <c:pt idx="20">
                  <c:v>-1387.7283411765613</c:v>
                </c:pt>
                <c:pt idx="21">
                  <c:v>-1986.3572518388116</c:v>
                </c:pt>
                <c:pt idx="22">
                  <c:v>-2395.5120397863552</c:v>
                </c:pt>
                <c:pt idx="23">
                  <c:v>-2808.8371071123147</c:v>
                </c:pt>
                <c:pt idx="24">
                  <c:v>-3237.9342775938094</c:v>
                </c:pt>
                <c:pt idx="25">
                  <c:v>-3501.1707013071873</c:v>
                </c:pt>
                <c:pt idx="26">
                  <c:v>-3706.8156491952841</c:v>
                </c:pt>
                <c:pt idx="27">
                  <c:v>-3760.3463827209757</c:v>
                </c:pt>
                <c:pt idx="28">
                  <c:v>-3706.8156491952855</c:v>
                </c:pt>
                <c:pt idx="29">
                  <c:v>-3501.1707013071887</c:v>
                </c:pt>
                <c:pt idx="30">
                  <c:v>-3237.9342775938107</c:v>
                </c:pt>
                <c:pt idx="31">
                  <c:v>-2808.8371071123161</c:v>
                </c:pt>
                <c:pt idx="32">
                  <c:v>-2395.5120397863566</c:v>
                </c:pt>
                <c:pt idx="33">
                  <c:v>-1986.3572518388137</c:v>
                </c:pt>
                <c:pt idx="34">
                  <c:v>-1387.7283411765609</c:v>
                </c:pt>
                <c:pt idx="35">
                  <c:v>-667.63805805827258</c:v>
                </c:pt>
                <c:pt idx="3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C-432B-B695-3985F509C746}"/>
            </c:ext>
          </c:extLst>
        </c:ser>
        <c:ser>
          <c:idx val="2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270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ComparacionSAP200!$B$21:$B$42</c:f>
              <c:numCache>
                <c:formatCode>General</c:formatCode>
                <c:ptCount val="22"/>
                <c:pt idx="0">
                  <c:v>0</c:v>
                </c:pt>
                <c:pt idx="1">
                  <c:v>678.04790000000003</c:v>
                </c:pt>
                <c:pt idx="2">
                  <c:v>1312.7938999999999</c:v>
                </c:pt>
                <c:pt idx="3">
                  <c:v>2117.7609000000002</c:v>
                </c:pt>
                <c:pt idx="4">
                  <c:v>2868.7662999999998</c:v>
                </c:pt>
                <c:pt idx="5">
                  <c:v>3170.7085000000002</c:v>
                </c:pt>
                <c:pt idx="6">
                  <c:v>3395.9290000000001</c:v>
                </c:pt>
                <c:pt idx="7">
                  <c:v>3043.5007999999998</c:v>
                </c:pt>
                <c:pt idx="8">
                  <c:v>1765.1021000000001</c:v>
                </c:pt>
                <c:pt idx="9">
                  <c:v>535.11289999999997</c:v>
                </c:pt>
                <c:pt idx="10">
                  <c:v>0</c:v>
                </c:pt>
                <c:pt idx="11">
                  <c:v>0</c:v>
                </c:pt>
                <c:pt idx="12">
                  <c:v>-678.04790000000003</c:v>
                </c:pt>
                <c:pt idx="13">
                  <c:v>-1312.7940000000001</c:v>
                </c:pt>
                <c:pt idx="14">
                  <c:v>-2117.761</c:v>
                </c:pt>
                <c:pt idx="15">
                  <c:v>-2868.7660000000001</c:v>
                </c:pt>
                <c:pt idx="16">
                  <c:v>-3170.71</c:v>
                </c:pt>
                <c:pt idx="17">
                  <c:v>-3395.93</c:v>
                </c:pt>
                <c:pt idx="18">
                  <c:v>-3043.5010000000002</c:v>
                </c:pt>
                <c:pt idx="19">
                  <c:v>-1765.1020000000001</c:v>
                </c:pt>
                <c:pt idx="20">
                  <c:v>-535.11289999999997</c:v>
                </c:pt>
                <c:pt idx="21">
                  <c:v>0</c:v>
                </c:pt>
              </c:numCache>
            </c:numRef>
          </c:xVal>
          <c:yVal>
            <c:numRef>
              <c:f>ComparacionSAP200!$C$21:$C$42</c:f>
              <c:numCache>
                <c:formatCode>General</c:formatCode>
                <c:ptCount val="22"/>
                <c:pt idx="0">
                  <c:v>0</c:v>
                </c:pt>
                <c:pt idx="1">
                  <c:v>-436.46800000000002</c:v>
                </c:pt>
                <c:pt idx="2">
                  <c:v>-887.93970000000002</c:v>
                </c:pt>
                <c:pt idx="3">
                  <c:v>-1264.7670000000001</c:v>
                </c:pt>
                <c:pt idx="4">
                  <c:v>-1401.2080000000001</c:v>
                </c:pt>
                <c:pt idx="5">
                  <c:v>-1530.674</c:v>
                </c:pt>
                <c:pt idx="6">
                  <c:v>-1824.2190000000001</c:v>
                </c:pt>
                <c:pt idx="7">
                  <c:v>-1917.1279999999999</c:v>
                </c:pt>
                <c:pt idx="8">
                  <c:v>-1365.021</c:v>
                </c:pt>
                <c:pt idx="9">
                  <c:v>-518.0598</c:v>
                </c:pt>
                <c:pt idx="10">
                  <c:v>0</c:v>
                </c:pt>
                <c:pt idx="11">
                  <c:v>0</c:v>
                </c:pt>
                <c:pt idx="12">
                  <c:v>436.46800000000002</c:v>
                </c:pt>
                <c:pt idx="13">
                  <c:v>887.93970000000002</c:v>
                </c:pt>
                <c:pt idx="14">
                  <c:v>1264.7669000000001</c:v>
                </c:pt>
                <c:pt idx="15">
                  <c:v>1401.2076999999999</c:v>
                </c:pt>
                <c:pt idx="16">
                  <c:v>1530.674</c:v>
                </c:pt>
                <c:pt idx="17">
                  <c:v>1824.2194</c:v>
                </c:pt>
                <c:pt idx="18">
                  <c:v>1917.1276</c:v>
                </c:pt>
                <c:pt idx="19">
                  <c:v>1365.0206000000001</c:v>
                </c:pt>
                <c:pt idx="20">
                  <c:v>518.0598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8C-432B-B695-3985F509C746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ComparacionSAP200!$S$3:$S$42</c:f>
              <c:numCache>
                <c:formatCode>0</c:formatCode>
                <c:ptCount val="40"/>
                <c:pt idx="0">
                  <c:v>725.82586669921875</c:v>
                </c:pt>
                <c:pt idx="1">
                  <c:v>-477.39825439453125</c:v>
                </c:pt>
                <c:pt idx="2">
                  <c:v>547.05230712890625</c:v>
                </c:pt>
                <c:pt idx="3">
                  <c:v>-363.12210083007813</c:v>
                </c:pt>
                <c:pt idx="4">
                  <c:v>124.21380615234375</c:v>
                </c:pt>
                <c:pt idx="5">
                  <c:v>91.965080261230469</c:v>
                </c:pt>
              </c:numCache>
            </c:numRef>
          </c:xVal>
          <c:yVal>
            <c:numRef>
              <c:f>ComparacionSAP200!$R$3:$R$42</c:f>
              <c:numCache>
                <c:formatCode>0</c:formatCode>
                <c:ptCount val="40"/>
                <c:pt idx="0">
                  <c:v>2404.800537109375</c:v>
                </c:pt>
                <c:pt idx="1">
                  <c:v>-1779.7122802734375</c:v>
                </c:pt>
                <c:pt idx="2">
                  <c:v>1629.3310546875</c:v>
                </c:pt>
                <c:pt idx="3">
                  <c:v>-1205.5528564453125</c:v>
                </c:pt>
                <c:pt idx="4">
                  <c:v>312.54409790039063</c:v>
                </c:pt>
                <c:pt idx="5">
                  <c:v>211.88911437988281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8C-432B-B695-3985F509C746}"/>
            </c:ext>
          </c:extLst>
        </c:ser>
        <c:ser>
          <c:idx val="5"/>
          <c:order val="5"/>
          <c:spPr>
            <a:ln w="1587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ComparacionSAP200!$AD$3:$AD$39</c:f>
              <c:numCache>
                <c:formatCode>General</c:formatCode>
                <c:ptCount val="37"/>
                <c:pt idx="0">
                  <c:v>1926.3525317792389</c:v>
                </c:pt>
                <c:pt idx="1">
                  <c:v>1865.3586915419371</c:v>
                </c:pt>
                <c:pt idx="2">
                  <c:v>1749.1035423681228</c:v>
                </c:pt>
                <c:pt idx="3">
                  <c:v>1592.711263326961</c:v>
                </c:pt>
                <c:pt idx="4">
                  <c:v>1419.7594592430933</c:v>
                </c:pt>
                <c:pt idx="5">
                  <c:v>1241.5830079387881</c:v>
                </c:pt>
                <c:pt idx="6">
                  <c:v>1043.9415244207346</c:v>
                </c:pt>
                <c:pt idx="7">
                  <c:v>776.94051147133166</c:v>
                </c:pt>
                <c:pt idx="8">
                  <c:v>392.7840976414862</c:v>
                </c:pt>
                <c:pt idx="9">
                  <c:v>8.9533363673238249E-14</c:v>
                </c:pt>
                <c:pt idx="10">
                  <c:v>-392.78409764148614</c:v>
                </c:pt>
                <c:pt idx="11">
                  <c:v>-776.94051147133109</c:v>
                </c:pt>
                <c:pt idx="12">
                  <c:v>-1043.9415244207344</c:v>
                </c:pt>
                <c:pt idx="13">
                  <c:v>-1241.5830079387881</c:v>
                </c:pt>
                <c:pt idx="14">
                  <c:v>-1419.7594592430928</c:v>
                </c:pt>
                <c:pt idx="15">
                  <c:v>-1592.711263326961</c:v>
                </c:pt>
                <c:pt idx="16">
                  <c:v>-1749.1035423681219</c:v>
                </c:pt>
                <c:pt idx="17">
                  <c:v>-1865.3586915419378</c:v>
                </c:pt>
                <c:pt idx="18">
                  <c:v>-1926.3525317792373</c:v>
                </c:pt>
                <c:pt idx="19">
                  <c:v>-1865.3586915419398</c:v>
                </c:pt>
                <c:pt idx="20">
                  <c:v>-1749.1035423681208</c:v>
                </c:pt>
                <c:pt idx="21">
                  <c:v>-1592.7112633269612</c:v>
                </c:pt>
                <c:pt idx="22">
                  <c:v>-1419.7594592430933</c:v>
                </c:pt>
                <c:pt idx="23">
                  <c:v>-1241.5830079387886</c:v>
                </c:pt>
                <c:pt idx="24">
                  <c:v>-1043.9415244207355</c:v>
                </c:pt>
                <c:pt idx="25">
                  <c:v>-776.94051147133098</c:v>
                </c:pt>
                <c:pt idx="26">
                  <c:v>-392.78409764148574</c:v>
                </c:pt>
                <c:pt idx="27">
                  <c:v>-5.5264135912207967E-13</c:v>
                </c:pt>
                <c:pt idx="28">
                  <c:v>392.78409764148506</c:v>
                </c:pt>
                <c:pt idx="29">
                  <c:v>776.94051147133007</c:v>
                </c:pt>
                <c:pt idx="30">
                  <c:v>1043.9415244207346</c:v>
                </c:pt>
                <c:pt idx="31">
                  <c:v>1241.5830079387879</c:v>
                </c:pt>
                <c:pt idx="32">
                  <c:v>1419.7594592430924</c:v>
                </c:pt>
                <c:pt idx="33">
                  <c:v>1592.7112633269608</c:v>
                </c:pt>
                <c:pt idx="34">
                  <c:v>1749.1035423681217</c:v>
                </c:pt>
                <c:pt idx="35">
                  <c:v>1865.3586915419382</c:v>
                </c:pt>
                <c:pt idx="36">
                  <c:v>1926.3525317792389</c:v>
                </c:pt>
              </c:numCache>
            </c:numRef>
          </c:xVal>
          <c:yVal>
            <c:numRef>
              <c:f>ComparacionSAP200!$AC$3:$AC$39</c:f>
              <c:numCache>
                <c:formatCode>General</c:formatCode>
                <c:ptCount val="37"/>
                <c:pt idx="0">
                  <c:v>0</c:v>
                </c:pt>
                <c:pt idx="1">
                  <c:v>392.78409764148569</c:v>
                </c:pt>
                <c:pt idx="2">
                  <c:v>776.94051147133109</c:v>
                </c:pt>
                <c:pt idx="3">
                  <c:v>1043.9415244207346</c:v>
                </c:pt>
                <c:pt idx="4">
                  <c:v>1241.5830079387883</c:v>
                </c:pt>
                <c:pt idx="5">
                  <c:v>1419.7594592430928</c:v>
                </c:pt>
                <c:pt idx="6">
                  <c:v>1592.7112633269603</c:v>
                </c:pt>
                <c:pt idx="7">
                  <c:v>1749.1035423681221</c:v>
                </c:pt>
                <c:pt idx="8">
                  <c:v>1865.3586915419382</c:v>
                </c:pt>
                <c:pt idx="9">
                  <c:v>1926.3525317792391</c:v>
                </c:pt>
                <c:pt idx="10">
                  <c:v>1865.3586915419376</c:v>
                </c:pt>
                <c:pt idx="11">
                  <c:v>1749.1035423681228</c:v>
                </c:pt>
                <c:pt idx="12">
                  <c:v>1592.7112633269608</c:v>
                </c:pt>
                <c:pt idx="13">
                  <c:v>1419.7594592430928</c:v>
                </c:pt>
                <c:pt idx="14">
                  <c:v>1241.5830079387888</c:v>
                </c:pt>
                <c:pt idx="15">
                  <c:v>1043.9415244207346</c:v>
                </c:pt>
                <c:pt idx="16">
                  <c:v>776.94051147133155</c:v>
                </c:pt>
                <c:pt idx="17">
                  <c:v>392.78409764148614</c:v>
                </c:pt>
                <c:pt idx="18">
                  <c:v>4.8079727900153132E-13</c:v>
                </c:pt>
                <c:pt idx="19">
                  <c:v>-392.78409764148523</c:v>
                </c:pt>
                <c:pt idx="20">
                  <c:v>-776.94051147133052</c:v>
                </c:pt>
                <c:pt idx="21">
                  <c:v>-1043.9415244207344</c:v>
                </c:pt>
                <c:pt idx="22">
                  <c:v>-1241.5830079387886</c:v>
                </c:pt>
                <c:pt idx="23">
                  <c:v>-1419.759459243093</c:v>
                </c:pt>
                <c:pt idx="24">
                  <c:v>-1592.711263326961</c:v>
                </c:pt>
                <c:pt idx="25">
                  <c:v>-1749.1035423681217</c:v>
                </c:pt>
                <c:pt idx="26">
                  <c:v>-1865.3586915419373</c:v>
                </c:pt>
                <c:pt idx="27">
                  <c:v>-1926.3525317792373</c:v>
                </c:pt>
                <c:pt idx="28">
                  <c:v>-1865.358691541941</c:v>
                </c:pt>
                <c:pt idx="29">
                  <c:v>-1749.1035423681233</c:v>
                </c:pt>
                <c:pt idx="30">
                  <c:v>-1592.7112633269603</c:v>
                </c:pt>
                <c:pt idx="31">
                  <c:v>-1419.7594592430933</c:v>
                </c:pt>
                <c:pt idx="32">
                  <c:v>-1241.5830079387886</c:v>
                </c:pt>
                <c:pt idx="33">
                  <c:v>-1043.9415244207355</c:v>
                </c:pt>
                <c:pt idx="34">
                  <c:v>-776.94051147133098</c:v>
                </c:pt>
                <c:pt idx="35">
                  <c:v>-392.78409764148626</c:v>
                </c:pt>
                <c:pt idx="3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9-40AB-B455-D2CCDF74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ComparacionSAP200!$AU$3:$AU$30</c:f>
              <c:numCache>
                <c:formatCode>General</c:formatCode>
                <c:ptCount val="28"/>
                <c:pt idx="0">
                  <c:v>0</c:v>
                </c:pt>
                <c:pt idx="1">
                  <c:v>500.3433262124347</c:v>
                </c:pt>
                <c:pt idx="2">
                  <c:v>1656.5749168819868</c:v>
                </c:pt>
                <c:pt idx="3">
                  <c:v>2662.7315642168096</c:v>
                </c:pt>
                <c:pt idx="4">
                  <c:v>3797.2687903740116</c:v>
                </c:pt>
                <c:pt idx="5">
                  <c:v>3879.64647553228</c:v>
                </c:pt>
                <c:pt idx="6">
                  <c:v>3734.7956383398391</c:v>
                </c:pt>
                <c:pt idx="7">
                  <c:v>3533.8793544888058</c:v>
                </c:pt>
                <c:pt idx="8">
                  <c:v>3410.2460840270874</c:v>
                </c:pt>
                <c:pt idx="9">
                  <c:v>3133.9171107023735</c:v>
                </c:pt>
                <c:pt idx="10">
                  <c:v>2576.1843738443467</c:v>
                </c:pt>
                <c:pt idx="11">
                  <c:v>1666.4658898722355</c:v>
                </c:pt>
                <c:pt idx="12">
                  <c:v>1009.3573099459629</c:v>
                </c:pt>
                <c:pt idx="13">
                  <c:v>-2.3907809065804031E-14</c:v>
                </c:pt>
                <c:pt idx="14">
                  <c:v>0</c:v>
                </c:pt>
                <c:pt idx="15">
                  <c:v>-500.34332621243493</c:v>
                </c:pt>
                <c:pt idx="16">
                  <c:v>-1656.5749168819875</c:v>
                </c:pt>
                <c:pt idx="17">
                  <c:v>-2662.7315642168087</c:v>
                </c:pt>
                <c:pt idx="18">
                  <c:v>-3797.268790374013</c:v>
                </c:pt>
                <c:pt idx="19">
                  <c:v>-3879.6464755322818</c:v>
                </c:pt>
                <c:pt idx="20">
                  <c:v>-3734.79563833984</c:v>
                </c:pt>
                <c:pt idx="21">
                  <c:v>-3533.8793544888063</c:v>
                </c:pt>
                <c:pt idx="22">
                  <c:v>-3410.2460840270883</c:v>
                </c:pt>
                <c:pt idx="23">
                  <c:v>-3133.9171107023749</c:v>
                </c:pt>
                <c:pt idx="24">
                  <c:v>-2576.1843738443476</c:v>
                </c:pt>
                <c:pt idx="25">
                  <c:v>-1666.4658898722362</c:v>
                </c:pt>
                <c:pt idx="26">
                  <c:v>-1009.3573099459625</c:v>
                </c:pt>
                <c:pt idx="27">
                  <c:v>-2.9618085761741005E-15</c:v>
                </c:pt>
              </c:numCache>
            </c:numRef>
          </c:xVal>
          <c:yVal>
            <c:numRef>
              <c:f>ComparacionSAP200!$AR$3:$AR$30</c:f>
              <c:numCache>
                <c:formatCode>General</c:formatCode>
                <c:ptCount val="28"/>
                <c:pt idx="0">
                  <c:v>142.50264276683305</c:v>
                </c:pt>
                <c:pt idx="1">
                  <c:v>122.30334566793682</c:v>
                </c:pt>
                <c:pt idx="2">
                  <c:v>75.513992510085842</c:v>
                </c:pt>
                <c:pt idx="3">
                  <c:v>28.6655358909996</c:v>
                </c:pt>
                <c:pt idx="4">
                  <c:v>-34.204754331184823</c:v>
                </c:pt>
                <c:pt idx="5">
                  <c:v>-79.164589210214885</c:v>
                </c:pt>
                <c:pt idx="6">
                  <c:v>-137.40528919536274</c:v>
                </c:pt>
                <c:pt idx="7">
                  <c:v>-163.89015055647877</c:v>
                </c:pt>
                <c:pt idx="8">
                  <c:v>-206.1068536442213</c:v>
                </c:pt>
                <c:pt idx="9">
                  <c:v>-254.87860964373328</c:v>
                </c:pt>
                <c:pt idx="10">
                  <c:v>-313.22748512590442</c:v>
                </c:pt>
                <c:pt idx="11">
                  <c:v>-359.61612870400688</c:v>
                </c:pt>
                <c:pt idx="12">
                  <c:v>-359.61612870400688</c:v>
                </c:pt>
                <c:pt idx="13">
                  <c:v>-359.61612870400688</c:v>
                </c:pt>
                <c:pt idx="14">
                  <c:v>142.50264276683305</c:v>
                </c:pt>
                <c:pt idx="15">
                  <c:v>122.30334566793678</c:v>
                </c:pt>
                <c:pt idx="16">
                  <c:v>75.513992510085828</c:v>
                </c:pt>
                <c:pt idx="17">
                  <c:v>28.665535890999607</c:v>
                </c:pt>
                <c:pt idx="18">
                  <c:v>-34.204754331184851</c:v>
                </c:pt>
                <c:pt idx="19">
                  <c:v>-79.16458921021497</c:v>
                </c:pt>
                <c:pt idx="20">
                  <c:v>-137.4052891953628</c:v>
                </c:pt>
                <c:pt idx="21">
                  <c:v>-163.89015055647877</c:v>
                </c:pt>
                <c:pt idx="22">
                  <c:v>-206.10685364422136</c:v>
                </c:pt>
                <c:pt idx="23">
                  <c:v>-254.8786096437332</c:v>
                </c:pt>
                <c:pt idx="24">
                  <c:v>-313.22748512590431</c:v>
                </c:pt>
                <c:pt idx="25">
                  <c:v>-359.61612870400688</c:v>
                </c:pt>
                <c:pt idx="26">
                  <c:v>-359.61612870400688</c:v>
                </c:pt>
                <c:pt idx="27">
                  <c:v>-359.61612870400688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A-41C6-8E18-3C37F6907AAD}"/>
            </c:ext>
          </c:extLst>
        </c:ser>
        <c:ser>
          <c:idx val="4"/>
          <c:order val="1"/>
          <c:spPr>
            <a:ln w="1587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ComparacionSAP200!$AJ$41:$AJ$42</c:f>
              <c:numCache>
                <c:formatCode>General</c:formatCode>
                <c:ptCount val="2"/>
                <c:pt idx="0">
                  <c:v>3533.8775572978952</c:v>
                </c:pt>
                <c:pt idx="1">
                  <c:v>-3533.8775572978961</c:v>
                </c:pt>
              </c:numCache>
            </c:numRef>
          </c:xVal>
          <c:yVal>
            <c:numRef>
              <c:f>ComparacionSAP200!$AG$41:$AG$42</c:f>
              <c:numCache>
                <c:formatCode>General</c:formatCode>
                <c:ptCount val="2"/>
                <c:pt idx="0">
                  <c:v>-163.89115774583732</c:v>
                </c:pt>
                <c:pt idx="1">
                  <c:v>-163.89115774583723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1A-41C6-8E18-3C37F6907AAD}"/>
            </c:ext>
          </c:extLst>
        </c:ser>
        <c:ser>
          <c:idx val="0"/>
          <c:order val="2"/>
          <c:spPr>
            <a:ln w="158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ComparacionSAP200!$AP$41:$AP$42</c:f>
              <c:numCache>
                <c:formatCode>General</c:formatCode>
                <c:ptCount val="2"/>
                <c:pt idx="0">
                  <c:v>3797.3119661000605</c:v>
                </c:pt>
                <c:pt idx="1">
                  <c:v>-3797.3119661000624</c:v>
                </c:pt>
              </c:numCache>
            </c:numRef>
          </c:xVal>
          <c:yVal>
            <c:numRef>
              <c:f>ComparacionSAP200!$AM$41:$AM$42</c:f>
              <c:numCache>
                <c:formatCode>General</c:formatCode>
                <c:ptCount val="2"/>
                <c:pt idx="0">
                  <c:v>-34.218617696955583</c:v>
                </c:pt>
                <c:pt idx="1">
                  <c:v>-34.218617696955661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1A-41C6-8E18-3C37F6907AAD}"/>
            </c:ext>
          </c:extLst>
        </c:ser>
        <c:ser>
          <c:idx val="2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2700" cap="flat" cmpd="sng" algn="ctr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ComparacionSAP200!$D$21:$D$42</c:f>
              <c:numCache>
                <c:formatCode>General</c:formatCode>
                <c:ptCount val="22"/>
                <c:pt idx="0">
                  <c:v>0</c:v>
                </c:pt>
                <c:pt idx="1">
                  <c:v>805.44070638269068</c:v>
                </c:pt>
                <c:pt idx="2">
                  <c:v>1580.8827173332479</c:v>
                </c:pt>
                <c:pt idx="3">
                  <c:v>2466.4182385413965</c:v>
                </c:pt>
                <c:pt idx="4">
                  <c:v>3185.0284933206899</c:v>
                </c:pt>
                <c:pt idx="5">
                  <c:v>3511.2511089952513</c:v>
                </c:pt>
                <c:pt idx="6">
                  <c:v>3853.070283448285</c:v>
                </c:pt>
                <c:pt idx="7">
                  <c:v>3594.3130092382617</c:v>
                </c:pt>
                <c:pt idx="8">
                  <c:v>2211.1337588732608</c:v>
                </c:pt>
                <c:pt idx="9">
                  <c:v>722.45126529276195</c:v>
                </c:pt>
                <c:pt idx="10">
                  <c:v>0</c:v>
                </c:pt>
                <c:pt idx="11">
                  <c:v>0</c:v>
                </c:pt>
                <c:pt idx="12">
                  <c:v>-805.44070638269068</c:v>
                </c:pt>
                <c:pt idx="13">
                  <c:v>-1580.8828039357884</c:v>
                </c:pt>
                <c:pt idx="14">
                  <c:v>-2466.4182751439366</c:v>
                </c:pt>
                <c:pt idx="15">
                  <c:v>-3185.0280835130689</c:v>
                </c:pt>
                <c:pt idx="16">
                  <c:v>-3511.2524080333569</c:v>
                </c:pt>
                <c:pt idx="17">
                  <c:v>-3853.0713494736888</c:v>
                </c:pt>
                <c:pt idx="18">
                  <c:v>-3594.3129824433431</c:v>
                </c:pt>
                <c:pt idx="19">
                  <c:v>-2211.1334722707206</c:v>
                </c:pt>
                <c:pt idx="20">
                  <c:v>-722.45126529276195</c:v>
                </c:pt>
                <c:pt idx="21">
                  <c:v>0</c:v>
                </c:pt>
              </c:numCache>
            </c:numRef>
          </c:xVal>
          <c:yVal>
            <c:numRef>
              <c:f>ComparacionSAP200!$A$21:$A$42</c:f>
              <c:numCache>
                <c:formatCode>General</c:formatCode>
                <c:ptCount val="22"/>
                <c:pt idx="0">
                  <c:v>-359.57619999999997</c:v>
                </c:pt>
                <c:pt idx="1">
                  <c:v>-359.57619999999997</c:v>
                </c:pt>
                <c:pt idx="2">
                  <c:v>-359.57619999999997</c:v>
                </c:pt>
                <c:pt idx="3">
                  <c:v>-320.20080000000002</c:v>
                </c:pt>
                <c:pt idx="4">
                  <c:v>-244.63579999999999</c:v>
                </c:pt>
                <c:pt idx="5">
                  <c:v>-159.16220000000001</c:v>
                </c:pt>
                <c:pt idx="6">
                  <c:v>-96.552700000000002</c:v>
                </c:pt>
                <c:pt idx="7">
                  <c:v>-20.6569</c:v>
                </c:pt>
                <c:pt idx="8">
                  <c:v>58.177599999999998</c:v>
                </c:pt>
                <c:pt idx="9">
                  <c:v>119.5659</c:v>
                </c:pt>
                <c:pt idx="10">
                  <c:v>142.43039999999999</c:v>
                </c:pt>
                <c:pt idx="11">
                  <c:v>-359.57619999999997</c:v>
                </c:pt>
                <c:pt idx="12">
                  <c:v>-359.57619999999997</c:v>
                </c:pt>
                <c:pt idx="13">
                  <c:v>-359.57619999999997</c:v>
                </c:pt>
                <c:pt idx="14">
                  <c:v>-320.20080000000002</c:v>
                </c:pt>
                <c:pt idx="15">
                  <c:v>-244.63579999999999</c:v>
                </c:pt>
                <c:pt idx="16">
                  <c:v>-159.16220000000001</c:v>
                </c:pt>
                <c:pt idx="17">
                  <c:v>-96.552700000000002</c:v>
                </c:pt>
                <c:pt idx="18">
                  <c:v>-20.6569</c:v>
                </c:pt>
                <c:pt idx="19">
                  <c:v>58.177599999999998</c:v>
                </c:pt>
                <c:pt idx="20">
                  <c:v>119.5659</c:v>
                </c:pt>
                <c:pt idx="21">
                  <c:v>142.43039999999999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1A-41C6-8E18-3C37F6907AAD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ComparacionSAP200!$U$3:$U$42</c:f>
              <c:numCache>
                <c:formatCode>General</c:formatCode>
                <c:ptCount val="40"/>
                <c:pt idx="0">
                  <c:v>-573.81662926930778</c:v>
                </c:pt>
                <c:pt idx="1">
                  <c:v>476.41712410870957</c:v>
                </c:pt>
                <c:pt idx="2">
                  <c:v>-340.90433217123103</c:v>
                </c:pt>
                <c:pt idx="3">
                  <c:v>288.30346422823487</c:v>
                </c:pt>
                <c:pt idx="4">
                  <c:v>-48.69973732151</c:v>
                </c:pt>
                <c:pt idx="5">
                  <c:v>-26.300461422641106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ComparacionSAP200!$Q$3:$Q$42</c:f>
              <c:numCache>
                <c:formatCode>0.0</c:formatCode>
                <c:ptCount val="40"/>
                <c:pt idx="0">
                  <c:v>-74.252098083496094</c:v>
                </c:pt>
                <c:pt idx="1">
                  <c:v>-77.536521911621094</c:v>
                </c:pt>
                <c:pt idx="2">
                  <c:v>-58.550212860107422</c:v>
                </c:pt>
                <c:pt idx="3">
                  <c:v>-62.382041931152344</c:v>
                </c:pt>
                <c:pt idx="4">
                  <c:v>-75.894309997558594</c:v>
                </c:pt>
                <c:pt idx="5">
                  <c:v>-60.46612548828125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1A-41C6-8E18-3C37F6907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728192"/>
        <c:axId val="631726944"/>
      </c:scatterChart>
      <c:valAx>
        <c:axId val="63172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6944"/>
        <c:crosses val="max"/>
        <c:crossBetween val="midCat"/>
      </c:valAx>
      <c:valAx>
        <c:axId val="631726944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17281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31720</xdr:colOff>
      <xdr:row>1</xdr:row>
      <xdr:rowOff>22411</xdr:rowOff>
    </xdr:from>
    <xdr:to>
      <xdr:col>7</xdr:col>
      <xdr:colOff>407994</xdr:colOff>
      <xdr:row>20</xdr:row>
      <xdr:rowOff>134471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22405</xdr:colOff>
      <xdr:row>21</xdr:row>
      <xdr:rowOff>19577</xdr:rowOff>
    </xdr:from>
    <xdr:to>
      <xdr:col>7</xdr:col>
      <xdr:colOff>403513</xdr:colOff>
      <xdr:row>41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26049</xdr:colOff>
      <xdr:row>21</xdr:row>
      <xdr:rowOff>19576</xdr:rowOff>
    </xdr:from>
    <xdr:to>
      <xdr:col>15</xdr:col>
      <xdr:colOff>400435</xdr:colOff>
      <xdr:row>41</xdr:row>
      <xdr:rowOff>134471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9525</xdr:rowOff>
        </xdr:from>
        <xdr:to>
          <xdr:col>10</xdr:col>
          <xdr:colOff>304800</xdr:colOff>
          <xdr:row>18</xdr:row>
          <xdr:rowOff>123825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11</xdr:row>
          <xdr:rowOff>152400</xdr:rowOff>
        </xdr:from>
        <xdr:to>
          <xdr:col>15</xdr:col>
          <xdr:colOff>323850</xdr:colOff>
          <xdr:row>13</xdr:row>
          <xdr:rowOff>133350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42933</xdr:colOff>
      <xdr:row>1</xdr:row>
      <xdr:rowOff>22414</xdr:rowOff>
    </xdr:from>
    <xdr:to>
      <xdr:col>7</xdr:col>
      <xdr:colOff>390632</xdr:colOff>
      <xdr:row>20</xdr:row>
      <xdr:rowOff>134474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37262</xdr:colOff>
      <xdr:row>21</xdr:row>
      <xdr:rowOff>19579</xdr:rowOff>
    </xdr:from>
    <xdr:to>
      <xdr:col>15</xdr:col>
      <xdr:colOff>392598</xdr:colOff>
      <xdr:row>41</xdr:row>
      <xdr:rowOff>134474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21</xdr:row>
      <xdr:rowOff>0</xdr:rowOff>
    </xdr:from>
    <xdr:to>
      <xdr:col>7</xdr:col>
      <xdr:colOff>395676</xdr:colOff>
      <xdr:row>41</xdr:row>
      <xdr:rowOff>114894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17</xdr:row>
          <xdr:rowOff>19050</xdr:rowOff>
        </xdr:from>
        <xdr:to>
          <xdr:col>10</xdr:col>
          <xdr:colOff>314325</xdr:colOff>
          <xdr:row>18</xdr:row>
          <xdr:rowOff>133350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12</xdr:row>
          <xdr:rowOff>19050</xdr:rowOff>
        </xdr:from>
        <xdr:to>
          <xdr:col>15</xdr:col>
          <xdr:colOff>323850</xdr:colOff>
          <xdr:row>14</xdr:row>
          <xdr:rowOff>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42933</xdr:colOff>
      <xdr:row>1</xdr:row>
      <xdr:rowOff>22414</xdr:rowOff>
    </xdr:from>
    <xdr:to>
      <xdr:col>7</xdr:col>
      <xdr:colOff>390632</xdr:colOff>
      <xdr:row>20</xdr:row>
      <xdr:rowOff>134474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33618</xdr:colOff>
      <xdr:row>21</xdr:row>
      <xdr:rowOff>19579</xdr:rowOff>
    </xdr:from>
    <xdr:to>
      <xdr:col>15</xdr:col>
      <xdr:colOff>403411</xdr:colOff>
      <xdr:row>41</xdr:row>
      <xdr:rowOff>134474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21</xdr:row>
      <xdr:rowOff>22412</xdr:rowOff>
    </xdr:from>
    <xdr:to>
      <xdr:col>7</xdr:col>
      <xdr:colOff>395676</xdr:colOff>
      <xdr:row>41</xdr:row>
      <xdr:rowOff>137306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17</xdr:row>
          <xdr:rowOff>19050</xdr:rowOff>
        </xdr:from>
        <xdr:to>
          <xdr:col>10</xdr:col>
          <xdr:colOff>314325</xdr:colOff>
          <xdr:row>18</xdr:row>
          <xdr:rowOff>133350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12</xdr:row>
          <xdr:rowOff>19050</xdr:rowOff>
        </xdr:from>
        <xdr:to>
          <xdr:col>15</xdr:col>
          <xdr:colOff>333375</xdr:colOff>
          <xdr:row>14</xdr:row>
          <xdr:rowOff>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42933</xdr:colOff>
      <xdr:row>1</xdr:row>
      <xdr:rowOff>22414</xdr:rowOff>
    </xdr:from>
    <xdr:to>
      <xdr:col>7</xdr:col>
      <xdr:colOff>390632</xdr:colOff>
      <xdr:row>20</xdr:row>
      <xdr:rowOff>134474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37262</xdr:colOff>
      <xdr:row>21</xdr:row>
      <xdr:rowOff>19579</xdr:rowOff>
    </xdr:from>
    <xdr:to>
      <xdr:col>15</xdr:col>
      <xdr:colOff>392598</xdr:colOff>
      <xdr:row>41</xdr:row>
      <xdr:rowOff>134474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21</xdr:row>
      <xdr:rowOff>0</xdr:rowOff>
    </xdr:from>
    <xdr:to>
      <xdr:col>7</xdr:col>
      <xdr:colOff>395676</xdr:colOff>
      <xdr:row>41</xdr:row>
      <xdr:rowOff>114894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19050</xdr:rowOff>
        </xdr:from>
        <xdr:to>
          <xdr:col>10</xdr:col>
          <xdr:colOff>295275</xdr:colOff>
          <xdr:row>18</xdr:row>
          <xdr:rowOff>133350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12</xdr:row>
          <xdr:rowOff>19050</xdr:rowOff>
        </xdr:from>
        <xdr:to>
          <xdr:col>15</xdr:col>
          <xdr:colOff>323850</xdr:colOff>
          <xdr:row>14</xdr:row>
          <xdr:rowOff>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42933</xdr:colOff>
      <xdr:row>1</xdr:row>
      <xdr:rowOff>22414</xdr:rowOff>
    </xdr:from>
    <xdr:to>
      <xdr:col>7</xdr:col>
      <xdr:colOff>390632</xdr:colOff>
      <xdr:row>20</xdr:row>
      <xdr:rowOff>134474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37262</xdr:colOff>
      <xdr:row>21</xdr:row>
      <xdr:rowOff>19579</xdr:rowOff>
    </xdr:from>
    <xdr:to>
      <xdr:col>15</xdr:col>
      <xdr:colOff>392598</xdr:colOff>
      <xdr:row>41</xdr:row>
      <xdr:rowOff>134474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21</xdr:row>
      <xdr:rowOff>0</xdr:rowOff>
    </xdr:from>
    <xdr:to>
      <xdr:col>7</xdr:col>
      <xdr:colOff>395676</xdr:colOff>
      <xdr:row>41</xdr:row>
      <xdr:rowOff>114894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19050</xdr:rowOff>
        </xdr:from>
        <xdr:to>
          <xdr:col>10</xdr:col>
          <xdr:colOff>295275</xdr:colOff>
          <xdr:row>18</xdr:row>
          <xdr:rowOff>133350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12</xdr:row>
          <xdr:rowOff>9525</xdr:rowOff>
        </xdr:from>
        <xdr:to>
          <xdr:col>15</xdr:col>
          <xdr:colOff>323850</xdr:colOff>
          <xdr:row>13</xdr:row>
          <xdr:rowOff>142875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42933</xdr:colOff>
      <xdr:row>1</xdr:row>
      <xdr:rowOff>22414</xdr:rowOff>
    </xdr:from>
    <xdr:to>
      <xdr:col>7</xdr:col>
      <xdr:colOff>390632</xdr:colOff>
      <xdr:row>20</xdr:row>
      <xdr:rowOff>134474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37262</xdr:colOff>
      <xdr:row>21</xdr:row>
      <xdr:rowOff>19579</xdr:rowOff>
    </xdr:from>
    <xdr:to>
      <xdr:col>15</xdr:col>
      <xdr:colOff>392598</xdr:colOff>
      <xdr:row>41</xdr:row>
      <xdr:rowOff>134474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21</xdr:row>
      <xdr:rowOff>0</xdr:rowOff>
    </xdr:from>
    <xdr:to>
      <xdr:col>7</xdr:col>
      <xdr:colOff>395676</xdr:colOff>
      <xdr:row>41</xdr:row>
      <xdr:rowOff>114894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19050</xdr:rowOff>
        </xdr:from>
        <xdr:to>
          <xdr:col>10</xdr:col>
          <xdr:colOff>295275</xdr:colOff>
          <xdr:row>18</xdr:row>
          <xdr:rowOff>133350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12</xdr:row>
          <xdr:rowOff>9525</xdr:rowOff>
        </xdr:from>
        <xdr:to>
          <xdr:col>15</xdr:col>
          <xdr:colOff>323850</xdr:colOff>
          <xdr:row>13</xdr:row>
          <xdr:rowOff>142875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54139</xdr:colOff>
      <xdr:row>1</xdr:row>
      <xdr:rowOff>11208</xdr:rowOff>
    </xdr:from>
    <xdr:to>
      <xdr:col>7</xdr:col>
      <xdr:colOff>401838</xdr:colOff>
      <xdr:row>20</xdr:row>
      <xdr:rowOff>123268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48468</xdr:colOff>
      <xdr:row>21</xdr:row>
      <xdr:rowOff>8373</xdr:rowOff>
    </xdr:from>
    <xdr:to>
      <xdr:col>15</xdr:col>
      <xdr:colOff>403804</xdr:colOff>
      <xdr:row>41</xdr:row>
      <xdr:rowOff>123268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44824</xdr:colOff>
      <xdr:row>21</xdr:row>
      <xdr:rowOff>0</xdr:rowOff>
    </xdr:from>
    <xdr:to>
      <xdr:col>7</xdr:col>
      <xdr:colOff>406882</xdr:colOff>
      <xdr:row>41</xdr:row>
      <xdr:rowOff>114894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19050</xdr:rowOff>
        </xdr:from>
        <xdr:to>
          <xdr:col>10</xdr:col>
          <xdr:colOff>295275</xdr:colOff>
          <xdr:row>18</xdr:row>
          <xdr:rowOff>133350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12</xdr:row>
          <xdr:rowOff>9525</xdr:rowOff>
        </xdr:from>
        <xdr:to>
          <xdr:col>15</xdr:col>
          <xdr:colOff>323850</xdr:colOff>
          <xdr:row>13</xdr:row>
          <xdr:rowOff>142875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42933</xdr:colOff>
      <xdr:row>1</xdr:row>
      <xdr:rowOff>22414</xdr:rowOff>
    </xdr:from>
    <xdr:to>
      <xdr:col>7</xdr:col>
      <xdr:colOff>390632</xdr:colOff>
      <xdr:row>20</xdr:row>
      <xdr:rowOff>134474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37262</xdr:colOff>
      <xdr:row>21</xdr:row>
      <xdr:rowOff>19579</xdr:rowOff>
    </xdr:from>
    <xdr:to>
      <xdr:col>15</xdr:col>
      <xdr:colOff>392598</xdr:colOff>
      <xdr:row>41</xdr:row>
      <xdr:rowOff>134474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21</xdr:row>
      <xdr:rowOff>22412</xdr:rowOff>
    </xdr:from>
    <xdr:to>
      <xdr:col>7</xdr:col>
      <xdr:colOff>395676</xdr:colOff>
      <xdr:row>41</xdr:row>
      <xdr:rowOff>137306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19050</xdr:rowOff>
        </xdr:from>
        <xdr:to>
          <xdr:col>10</xdr:col>
          <xdr:colOff>295275</xdr:colOff>
          <xdr:row>18</xdr:row>
          <xdr:rowOff>133350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12</xdr:row>
          <xdr:rowOff>9525</xdr:rowOff>
        </xdr:from>
        <xdr:to>
          <xdr:col>15</xdr:col>
          <xdr:colOff>323850</xdr:colOff>
          <xdr:row>13</xdr:row>
          <xdr:rowOff>142875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22415</xdr:rowOff>
    </xdr:from>
    <xdr:to>
      <xdr:col>7</xdr:col>
      <xdr:colOff>400050</xdr:colOff>
      <xdr:row>17</xdr:row>
      <xdr:rowOff>123265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14568</xdr:colOff>
      <xdr:row>1</xdr:row>
      <xdr:rowOff>23607</xdr:rowOff>
    </xdr:from>
    <xdr:to>
      <xdr:col>15</xdr:col>
      <xdr:colOff>403412</xdr:colOff>
      <xdr:row>20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33129</xdr:colOff>
      <xdr:row>21</xdr:row>
      <xdr:rowOff>22412</xdr:rowOff>
    </xdr:from>
    <xdr:to>
      <xdr:col>15</xdr:col>
      <xdr:colOff>403412</xdr:colOff>
      <xdr:row>41</xdr:row>
      <xdr:rowOff>139742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EEB5A-49E4-4C71-8E71-9644B71D9DA5}">
  <sheetPr codeName="Sheet4"/>
  <dimension ref="A1:AS72"/>
  <sheetViews>
    <sheetView showGridLines="0" tabSelected="1" zoomScale="85" zoomScaleNormal="85" workbookViewId="0">
      <selection activeCell="X37" sqref="X37"/>
    </sheetView>
  </sheetViews>
  <sheetFormatPr defaultColWidth="5.7109375" defaultRowHeight="12.75" x14ac:dyDescent="0.2"/>
  <cols>
    <col min="1" max="19" width="6.5703125" style="2" customWidth="1"/>
    <col min="20" max="20" width="9.42578125" style="2" bestFit="1" customWidth="1"/>
    <col min="21" max="21" width="6.5703125" style="2" customWidth="1"/>
    <col min="22" max="22" width="5.7109375" style="2"/>
    <col min="23" max="23" width="6.7109375" style="2" bestFit="1" customWidth="1"/>
    <col min="24" max="24" width="6.28515625" style="2" customWidth="1"/>
    <col min="25" max="25" width="5.85546875" style="2" bestFit="1" customWidth="1"/>
    <col min="26" max="26" width="6.7109375" style="2" bestFit="1" customWidth="1"/>
    <col min="27" max="27" width="6.5703125" style="2" customWidth="1"/>
    <col min="28" max="39" width="5.85546875" style="2" bestFit="1" customWidth="1"/>
    <col min="40" max="40" width="5.7109375" style="2"/>
    <col min="41" max="44" width="5.85546875" style="2" bestFit="1" customWidth="1"/>
    <col min="45" max="16384" width="5.7109375" style="2"/>
  </cols>
  <sheetData>
    <row r="1" spans="1:44" x14ac:dyDescent="0.2">
      <c r="A1" s="58" t="s">
        <v>24</v>
      </c>
      <c r="B1" s="59"/>
      <c r="C1" s="59"/>
      <c r="D1" s="59"/>
      <c r="E1" s="59"/>
      <c r="F1" s="59"/>
      <c r="G1" s="59"/>
      <c r="H1" s="1"/>
      <c r="I1" s="60" t="s">
        <v>25</v>
      </c>
      <c r="J1" s="59"/>
      <c r="K1" s="59"/>
      <c r="L1" s="59"/>
      <c r="M1" s="59"/>
      <c r="N1" s="59"/>
      <c r="O1" s="59"/>
      <c r="P1" s="59"/>
      <c r="Q1" s="59"/>
      <c r="R1" s="59"/>
      <c r="S1" s="30"/>
      <c r="W1" s="3" t="s">
        <v>5</v>
      </c>
      <c r="X1" s="4">
        <v>0.85</v>
      </c>
      <c r="Z1" s="3" t="s">
        <v>26</v>
      </c>
      <c r="AA1" s="5">
        <f ca="1">MAX(OFFSET($AD$45,0,0,COUNT($AD$45:$AD$72)))</f>
        <v>18.186533479473212</v>
      </c>
      <c r="AC1" s="6" t="s">
        <v>13</v>
      </c>
      <c r="AD1" s="7">
        <f>MIN(Q3:Q42)</f>
        <v>0</v>
      </c>
      <c r="AI1" s="6" t="s">
        <v>13</v>
      </c>
      <c r="AJ1" s="7">
        <f>MAX(Q3:Q42)</f>
        <v>0</v>
      </c>
    </row>
    <row r="2" spans="1:44" x14ac:dyDescent="0.2">
      <c r="A2" s="8" t="s">
        <v>126</v>
      </c>
      <c r="B2" s="9"/>
      <c r="C2" s="9"/>
      <c r="D2" s="9"/>
      <c r="E2" s="9"/>
      <c r="F2" s="9"/>
      <c r="G2" s="9"/>
      <c r="H2" s="9"/>
      <c r="I2" s="8" t="s">
        <v>123</v>
      </c>
      <c r="J2" s="9"/>
      <c r="K2" s="9"/>
      <c r="L2" s="9"/>
      <c r="M2" s="9"/>
      <c r="N2" s="9"/>
      <c r="O2" s="9"/>
      <c r="P2" s="10"/>
      <c r="Q2" s="6" t="s">
        <v>13</v>
      </c>
      <c r="R2" s="6" t="s">
        <v>19</v>
      </c>
      <c r="S2" s="6" t="s">
        <v>20</v>
      </c>
      <c r="T2" s="6" t="s">
        <v>22</v>
      </c>
      <c r="U2" s="6" t="s">
        <v>32</v>
      </c>
      <c r="W2" s="3" t="s">
        <v>33</v>
      </c>
      <c r="X2" s="4">
        <v>0.65</v>
      </c>
      <c r="Z2" s="3" t="s">
        <v>34</v>
      </c>
      <c r="AA2" s="5">
        <f ca="1">AA1/(1-X4/X5)</f>
        <v>6.8199500548024536</v>
      </c>
      <c r="AC2" s="6" t="s">
        <v>18</v>
      </c>
      <c r="AD2" s="6" t="s">
        <v>35</v>
      </c>
      <c r="AE2" s="6" t="s">
        <v>13</v>
      </c>
      <c r="AF2" s="6" t="s">
        <v>19</v>
      </c>
      <c r="AG2" s="6" t="s">
        <v>20</v>
      </c>
      <c r="AI2" s="6" t="s">
        <v>18</v>
      </c>
      <c r="AJ2" s="6" t="s">
        <v>35</v>
      </c>
      <c r="AK2" s="6" t="s">
        <v>13</v>
      </c>
      <c r="AL2" s="6" t="s">
        <v>19</v>
      </c>
      <c r="AM2" s="6" t="s">
        <v>20</v>
      </c>
      <c r="AO2" s="6" t="s">
        <v>13</v>
      </c>
      <c r="AP2" s="6" t="s">
        <v>19</v>
      </c>
      <c r="AQ2" s="6" t="s">
        <v>20</v>
      </c>
      <c r="AR2" s="6" t="s">
        <v>32</v>
      </c>
    </row>
    <row r="3" spans="1:44" x14ac:dyDescent="0.2">
      <c r="A3" s="11" t="s">
        <v>3</v>
      </c>
      <c r="B3" s="73">
        <v>0.28000000000000003</v>
      </c>
      <c r="C3" s="13"/>
      <c r="D3" s="13"/>
      <c r="E3" s="13"/>
      <c r="F3" s="13"/>
      <c r="G3" s="13"/>
      <c r="H3" s="13"/>
      <c r="I3" s="6" t="s">
        <v>27</v>
      </c>
      <c r="J3" s="6" t="s">
        <v>29</v>
      </c>
      <c r="K3" s="6" t="s">
        <v>28</v>
      </c>
      <c r="L3" s="6" t="s">
        <v>30</v>
      </c>
      <c r="M3" s="6" t="s">
        <v>31</v>
      </c>
      <c r="N3" s="13"/>
      <c r="O3" s="13"/>
      <c r="P3" s="14"/>
      <c r="Q3" s="17"/>
      <c r="R3" s="17"/>
      <c r="S3" s="17"/>
      <c r="T3" s="18" t="s">
        <v>192</v>
      </c>
      <c r="U3" s="18" t="str">
        <f>IF(COUNT(Q3),S3*COS($X$6)+R3*SIN($X$6),"")</f>
        <v/>
      </c>
      <c r="W3" s="3" t="s">
        <v>36</v>
      </c>
      <c r="X3" s="4">
        <v>0.9</v>
      </c>
      <c r="Z3" s="3" t="s">
        <v>37</v>
      </c>
      <c r="AA3" s="5">
        <f ca="1">AA1/(1-X7/X5)</f>
        <v>10.911920285901417</v>
      </c>
      <c r="AC3" s="18">
        <v>0</v>
      </c>
      <c r="AD3" s="18">
        <f ca="1">XCOMPRESSGR($B$4,$B$5,$B$6,OFFSET($A$45,0,0,COUNT($A$45:$A$70),2), OFFSET($W$45,0,0,COUNT($W$45:$W$72),3),AC3,$AD$1,$B$3)</f>
        <v>7.1632232666015625</v>
      </c>
      <c r="AE3" s="18">
        <f t="array" aca="1" ref="AE3:AG3" ca="1">FLEXCOMPBIAXGR($B$4, $B$5, $B$6,OFFSET($A$45,0,0,COUNT($A$45:$A$70),2), OFFSET($W$45,0,0,COUNT($W$45:$W$72),3), AC3, AD3,$B$3  )</f>
        <v>8.9616605563946905E-4</v>
      </c>
      <c r="AF3" s="18">
        <f ca="1"/>
        <v>-69.195143209887192</v>
      </c>
      <c r="AG3" s="18">
        <f ca="1"/>
        <v>203.94895158463825</v>
      </c>
      <c r="AI3" s="18">
        <v>0</v>
      </c>
      <c r="AJ3" s="18">
        <f ca="1">XCOMPRESSGR($B$4,$B$5,$B$6,OFFSET($A$45,0,0,COUNT($A$45:$A$70),2), OFFSET($W$45,0,0,COUNT($W$45:$W$72),3),AI3,$AJ$1,$B$3)</f>
        <v>7.1632232666015625</v>
      </c>
      <c r="AK3" s="18">
        <f t="array" aca="1" ref="AK3:AM3" ca="1">FLEXCOMPBIAXGR($B$4, $B$5, $B$6,OFFSET($A$45,0,0,COUNT($A$45:$A$70),2), OFFSET($W$45,0,0,COUNT($W$45:$W$72),3), AI3, AJ3,$B$3  )</f>
        <v>8.9616605563946905E-4</v>
      </c>
      <c r="AL3" s="18">
        <f ca="1"/>
        <v>-69.195143209887192</v>
      </c>
      <c r="AM3" s="18">
        <f ca="1"/>
        <v>203.94895158463825</v>
      </c>
      <c r="AO3" s="18">
        <f t="array" aca="1" ref="AO3:AQ16" ca="1">DIAGRAFLEXCOMPGR( $B$4,$B$5, $B$6,OFFSET($A$45,0,0,COUNT($A$45:$A$70),2), OFFSET($W$45,0,0,COUNT($W$45:$W$72),3), $B$7,$B$3)</f>
        <v>27.0755008961168</v>
      </c>
      <c r="AP3" s="18">
        <f ca="1"/>
        <v>-5.5521676132750786</v>
      </c>
      <c r="AQ3" s="18">
        <f ca="1"/>
        <v>8.3952957881295909</v>
      </c>
      <c r="AR3" s="18">
        <f ca="1">AQ3*COS($X$6)+AP3*SIN($X$6)</f>
        <v>4.494455618167188</v>
      </c>
    </row>
    <row r="4" spans="1:44" x14ac:dyDescent="0.2">
      <c r="A4" s="11" t="s">
        <v>0</v>
      </c>
      <c r="B4" s="12">
        <v>0.20999999344348907</v>
      </c>
      <c r="C4" s="13"/>
      <c r="D4" s="13"/>
      <c r="E4" s="13"/>
      <c r="F4" s="13"/>
      <c r="G4" s="13"/>
      <c r="H4" s="13"/>
      <c r="I4" s="19">
        <f t="array" aca="1" ref="I4:K4" ca="1">FLEXCOMPBIAXGR($B$4, $B$5, $B$6,OFFSET($A$45,0,0,COUNT($A$45:$A$70),2), OFFSET($W$45,0,0,COUNT($W$45:$W$72),3), $B$7, $B$8,$B$3  )</f>
        <v>8.0358412919467206</v>
      </c>
      <c r="J4" s="19">
        <f ca="1"/>
        <v>9.5771255178087564</v>
      </c>
      <c r="K4" s="19">
        <f ca="1"/>
        <v>128.83640807415486</v>
      </c>
      <c r="L4" s="7">
        <f ca="1">K4*COS($X$6)+J4*SIN($X$6)</f>
        <v>116.36416508346106</v>
      </c>
      <c r="M4" s="7">
        <f ca="1">SQRT(I4^2+J4^2+K4^2)</f>
        <v>129.44155485740805</v>
      </c>
      <c r="N4" s="13"/>
      <c r="O4" s="13"/>
      <c r="P4" s="14"/>
      <c r="Q4" s="22"/>
      <c r="R4" s="22"/>
      <c r="S4" s="22"/>
      <c r="T4" s="23" t="s">
        <v>192</v>
      </c>
      <c r="U4" s="23" t="str">
        <f t="shared" ref="U4:U42" si="0">IF(COUNT(Q4),S4*COS($X$6)+R4*SIN($X$6),"")</f>
        <v/>
      </c>
      <c r="W4" s="3" t="s">
        <v>7</v>
      </c>
      <c r="X4" s="4">
        <v>5</v>
      </c>
      <c r="Z4" s="3" t="s">
        <v>39</v>
      </c>
      <c r="AA4" s="5">
        <f ca="1">IF(B8&lt;AA2,X4/(B8-AA1),X5/B8)</f>
        <v>-0.375</v>
      </c>
      <c r="AC4" s="23">
        <v>10</v>
      </c>
      <c r="AD4" s="23">
        <f t="shared" ref="AD4:AD39" ca="1" si="1">XCOMPRESSGR($B$4,$B$5,$B$6,OFFSET($A$45,0,0,COUNT($A$45:$A$70),2), OFFSET($W$45,0,0,COUNT($W$45:$W$72),3),AC4,$AD$1,$B$3)</f>
        <v>8.4955297460578532</v>
      </c>
      <c r="AE4" s="23">
        <f t="array" aca="1" ref="AE4:AG4" ca="1">FLEXCOMPBIAXGR($B$4, $B$5, $B$6,OFFSET($A$45,0,0,COUNT($A$45:$A$70),2), OFFSET($W$45,0,0,COUNT($W$45:$W$72),3), AC4, AD4,$B$3  )</f>
        <v>5.9609553800381576E-3</v>
      </c>
      <c r="AF4" s="23">
        <f ca="1"/>
        <v>-39.234937436441861</v>
      </c>
      <c r="AG4" s="23">
        <f ca="1"/>
        <v>190.28808154367385</v>
      </c>
      <c r="AI4" s="23">
        <v>10</v>
      </c>
      <c r="AJ4" s="23">
        <f t="shared" ref="AJ4:AJ39" ca="1" si="2">XCOMPRESSGR($B$4,$B$5,$B$6,OFFSET($A$45,0,0,COUNT($A$45:$A$70),2), OFFSET($W$45,0,0,COUNT($W$45:$W$72),3),AI4,$AJ$1,$B$3)</f>
        <v>8.4955297460578532</v>
      </c>
      <c r="AK4" s="23">
        <f t="array" aca="1" ref="AK4:AM4" ca="1">FLEXCOMPBIAXGR($B$4, $B$5, $B$6,OFFSET($A$45,0,0,COUNT($A$45:$A$70),2), OFFSET($W$45,0,0,COUNT($W$45:$W$72),3), AI4, AJ4,$B$3  )</f>
        <v>5.9609553800381576E-3</v>
      </c>
      <c r="AL4" s="23">
        <f ca="1"/>
        <v>-39.234937436441861</v>
      </c>
      <c r="AM4" s="23">
        <f ca="1"/>
        <v>190.28808154367385</v>
      </c>
      <c r="AO4" s="23">
        <f ca="1"/>
        <v>26.471155049799577</v>
      </c>
      <c r="AP4" s="23">
        <f ca="1"/>
        <v>-4.8663033827741815</v>
      </c>
      <c r="AQ4" s="23">
        <f ca="1"/>
        <v>12.523147772016735</v>
      </c>
      <c r="AR4" s="23">
        <f t="shared" ref="AR4:AR30" ca="1" si="3">AQ4*COS($X$6)+AP4*SIN($X$6)</f>
        <v>8.4122124145258965</v>
      </c>
    </row>
    <row r="5" spans="1:44" x14ac:dyDescent="0.2">
      <c r="A5" s="11" t="s">
        <v>1</v>
      </c>
      <c r="B5" s="12">
        <v>4.1999998092651367</v>
      </c>
      <c r="C5" s="13"/>
      <c r="D5" s="13"/>
      <c r="E5" s="13"/>
      <c r="F5" s="13"/>
      <c r="G5" s="13"/>
      <c r="H5" s="13"/>
      <c r="I5" s="7">
        <f ca="1">I4/M4</f>
        <v>6.2080846454594503E-2</v>
      </c>
      <c r="J5" s="7">
        <f ca="1">J4/M4</f>
        <v>7.3988029024827873E-2</v>
      </c>
      <c r="K5" s="7">
        <f ca="1">K4/M4</f>
        <v>0.99532494194835797</v>
      </c>
      <c r="L5" s="13"/>
      <c r="M5" s="13"/>
      <c r="N5" s="13"/>
      <c r="O5" s="13"/>
      <c r="P5" s="14"/>
      <c r="Q5" s="22"/>
      <c r="R5" s="22"/>
      <c r="S5" s="22"/>
      <c r="T5" s="23" t="s">
        <v>23</v>
      </c>
      <c r="U5" s="23" t="str">
        <f t="shared" si="0"/>
        <v/>
      </c>
      <c r="W5" s="3" t="s">
        <v>8</v>
      </c>
      <c r="X5" s="4">
        <v>-3</v>
      </c>
      <c r="Z5" s="3" t="s">
        <v>40</v>
      </c>
      <c r="AA5" s="5">
        <f ca="1">MAX(OFFSET($AE$45,0,0,COUNT($AE$45:$AE$72)))</f>
        <v>3.8199500548024545</v>
      </c>
      <c r="AC5" s="23">
        <v>20</v>
      </c>
      <c r="AD5" s="23">
        <f t="shared" ca="1" si="1"/>
        <v>9.4007567913346364</v>
      </c>
      <c r="AE5" s="23">
        <f t="array" aca="1" ref="AE5:AG5" ca="1">FLEXCOMPBIAXGR($B$4, $B$5, $B$6,OFFSET($A$45,0,0,COUNT($A$45:$A$70),2), OFFSET($W$45,0,0,COUNT($W$45:$W$72),3), AC5, AD5,$B$3  )</f>
        <v>1.2096342021550299E-3</v>
      </c>
      <c r="AF5" s="23">
        <f ca="1"/>
        <v>-20.246039509786826</v>
      </c>
      <c r="AG5" s="23">
        <f ca="1"/>
        <v>169.28548740426086</v>
      </c>
      <c r="AI5" s="23">
        <v>20</v>
      </c>
      <c r="AJ5" s="23">
        <f t="shared" ca="1" si="2"/>
        <v>9.4007567913346364</v>
      </c>
      <c r="AK5" s="23">
        <f t="array" aca="1" ref="AK5:AM5" ca="1">FLEXCOMPBIAXGR($B$4, $B$5, $B$6,OFFSET($A$45,0,0,COUNT($A$45:$A$70),2), OFFSET($W$45,0,0,COUNT($W$45:$W$72),3), AI5, AJ5,$B$3  )</f>
        <v>1.2096342021550299E-3</v>
      </c>
      <c r="AL5" s="23">
        <f ca="1"/>
        <v>-20.246039509786826</v>
      </c>
      <c r="AM5" s="23">
        <f ca="1"/>
        <v>169.28548740426086</v>
      </c>
      <c r="AO5" s="23">
        <f ca="1"/>
        <v>22.314797571812317</v>
      </c>
      <c r="AP5" s="23">
        <f ca="1"/>
        <v>2.7114926418430412</v>
      </c>
      <c r="AQ5" s="23">
        <f ca="1"/>
        <v>46.885076040772695</v>
      </c>
      <c r="AR5" s="23">
        <f t="shared" ca="1" si="3"/>
        <v>41.959413230595807</v>
      </c>
    </row>
    <row r="6" spans="1:44" x14ac:dyDescent="0.2">
      <c r="A6" s="11" t="s">
        <v>2</v>
      </c>
      <c r="B6" s="12">
        <v>2100</v>
      </c>
      <c r="C6" s="13"/>
      <c r="D6" s="13"/>
      <c r="E6" s="13"/>
      <c r="F6" s="13"/>
      <c r="G6" s="13"/>
      <c r="H6" s="13"/>
      <c r="I6" s="24"/>
      <c r="J6" s="13"/>
      <c r="K6" s="13"/>
      <c r="L6" s="13"/>
      <c r="M6" s="13"/>
      <c r="N6" s="13"/>
      <c r="O6" s="13"/>
      <c r="P6" s="14"/>
      <c r="Q6" s="22"/>
      <c r="R6" s="22"/>
      <c r="S6" s="22"/>
      <c r="T6" s="23" t="s">
        <v>191</v>
      </c>
      <c r="U6" s="23" t="str">
        <f t="shared" si="0"/>
        <v/>
      </c>
      <c r="W6" s="3" t="s">
        <v>43</v>
      </c>
      <c r="X6" s="5">
        <f>RADIANS(B7)</f>
        <v>0.52359877559829882</v>
      </c>
      <c r="Z6" s="3" t="s">
        <v>44</v>
      </c>
      <c r="AA6" s="5">
        <f ca="1">IF(AA5&lt;X7,X2,IF(AA5&gt;X4,X3,X2+(X3-X2)*(AA5-X7)/(X4-X7)))</f>
        <v>0.80166250754407575</v>
      </c>
      <c r="AC6" s="23">
        <v>30</v>
      </c>
      <c r="AD6" s="23">
        <f t="shared" ca="1" si="1"/>
        <v>9.8418455531366487</v>
      </c>
      <c r="AE6" s="23">
        <f t="array" aca="1" ref="AE6:AG6" ca="1">FLEXCOMPBIAXGR($B$4, $B$5, $B$6,OFFSET($A$45,0,0,COUNT($A$45:$A$70),2), OFFSET($W$45,0,0,COUNT($W$45:$W$72),3), AC6, AD6,$B$3  )</f>
        <v>3.2207181734982271E-3</v>
      </c>
      <c r="AF6" s="23">
        <f ca="1"/>
        <v>-6.348836055815978</v>
      </c>
      <c r="AG6" s="23">
        <f ca="1"/>
        <v>152.211634969709</v>
      </c>
      <c r="AI6" s="23">
        <v>30</v>
      </c>
      <c r="AJ6" s="23">
        <f t="shared" ca="1" si="2"/>
        <v>9.8418455531366487</v>
      </c>
      <c r="AK6" s="23">
        <f t="array" aca="1" ref="AK6:AM6" ca="1">FLEXCOMPBIAXGR($B$4, $B$5, $B$6,OFFSET($A$45,0,0,COUNT($A$45:$A$70),2), OFFSET($W$45,0,0,COUNT($W$45:$W$72),3), AI6, AJ6,$B$3  )</f>
        <v>3.2207181734982271E-3</v>
      </c>
      <c r="AL6" s="23">
        <f ca="1"/>
        <v>-6.348836055815978</v>
      </c>
      <c r="AM6" s="23">
        <f ca="1"/>
        <v>152.211634969709</v>
      </c>
      <c r="AO6" s="23">
        <f ca="1"/>
        <v>18.6550508202813</v>
      </c>
      <c r="AP6" s="23">
        <f ca="1"/>
        <v>8.9812887286838468</v>
      </c>
      <c r="AQ6" s="23">
        <f ca="1"/>
        <v>76.711660533718401</v>
      </c>
      <c r="AR6" s="23">
        <f t="shared" ca="1" si="3"/>
        <v>70.924891153030188</v>
      </c>
    </row>
    <row r="7" spans="1:44" x14ac:dyDescent="0.2">
      <c r="A7" s="11" t="s">
        <v>18</v>
      </c>
      <c r="B7" s="12">
        <v>30</v>
      </c>
      <c r="C7" s="13"/>
      <c r="D7" s="13"/>
      <c r="E7" s="13"/>
      <c r="F7" s="13"/>
      <c r="G7" s="13"/>
      <c r="H7" s="13"/>
      <c r="I7" s="25" t="s">
        <v>124</v>
      </c>
      <c r="J7" s="13"/>
      <c r="K7" s="13"/>
      <c r="L7" s="13"/>
      <c r="M7" s="13"/>
      <c r="N7" s="13"/>
      <c r="O7" s="13"/>
      <c r="P7" s="14"/>
      <c r="Q7" s="22"/>
      <c r="R7" s="22"/>
      <c r="S7" s="22"/>
      <c r="T7" s="23" t="s">
        <v>128</v>
      </c>
      <c r="U7" s="23" t="str">
        <f t="shared" si="0"/>
        <v/>
      </c>
      <c r="W7" s="3" t="s">
        <v>45</v>
      </c>
      <c r="X7" s="5">
        <f>B5/B6*1000</f>
        <v>1.9999999091738747</v>
      </c>
      <c r="Z7" s="3" t="s">
        <v>46</v>
      </c>
      <c r="AA7" s="5">
        <f ca="1">SUM(OFFSET($AG$45,0,0,COUNT($AG$45:$AG$72)))</f>
        <v>18.500572273778392</v>
      </c>
      <c r="AC7" s="23">
        <v>40</v>
      </c>
      <c r="AD7" s="23">
        <f t="shared" ca="1" si="1"/>
        <v>9.7504541590110954</v>
      </c>
      <c r="AE7" s="23">
        <f t="array" aca="1" ref="AE7:AG7" ca="1">FLEXCOMPBIAXGR($B$4, $B$5, $B$6,OFFSET($A$45,0,0,COUNT($A$45:$A$70),2), OFFSET($W$45,0,0,COUNT($W$45:$W$72),3), AC7, AD7,$B$3  )</f>
        <v>-1.1097913046018704E-3</v>
      </c>
      <c r="AF7" s="23">
        <f ca="1"/>
        <v>8.0611902529582906</v>
      </c>
      <c r="AG7" s="23">
        <f ca="1"/>
        <v>134.43488815164577</v>
      </c>
      <c r="AI7" s="23">
        <v>40</v>
      </c>
      <c r="AJ7" s="23">
        <f t="shared" ca="1" si="2"/>
        <v>9.7504541590110954</v>
      </c>
      <c r="AK7" s="23">
        <f t="array" aca="1" ref="AK7:AM7" ca="1">FLEXCOMPBIAXGR($B$4, $B$5, $B$6,OFFSET($A$45,0,0,COUNT($A$45:$A$70),2), OFFSET($W$45,0,0,COUNT($W$45:$W$72),3), AI7, AJ7,$B$3  )</f>
        <v>-1.1097913046018704E-3</v>
      </c>
      <c r="AL7" s="23">
        <f ca="1"/>
        <v>8.0611902529582906</v>
      </c>
      <c r="AM7" s="23">
        <f ca="1"/>
        <v>134.43488815164577</v>
      </c>
      <c r="AO7" s="23">
        <f ca="1"/>
        <v>13.724120674296698</v>
      </c>
      <c r="AP7" s="23">
        <f ca="1"/>
        <v>15.853640913651835</v>
      </c>
      <c r="AQ7" s="23">
        <f ca="1"/>
        <v>114.10588458986211</v>
      </c>
      <c r="AR7" s="23">
        <f t="shared" ca="1" si="3"/>
        <v>106.74541523294182</v>
      </c>
    </row>
    <row r="8" spans="1:44" x14ac:dyDescent="0.2">
      <c r="A8" s="11" t="s">
        <v>35</v>
      </c>
      <c r="B8" s="12">
        <v>8</v>
      </c>
      <c r="C8" s="13"/>
      <c r="D8" s="13"/>
      <c r="E8" s="13"/>
      <c r="F8" s="13"/>
      <c r="G8" s="13"/>
      <c r="H8" s="13"/>
      <c r="I8" s="6" t="s">
        <v>41</v>
      </c>
      <c r="J8" s="6" t="s">
        <v>15</v>
      </c>
      <c r="K8" s="6" t="s">
        <v>14</v>
      </c>
      <c r="L8" s="6" t="s">
        <v>122</v>
      </c>
      <c r="M8" s="6" t="s">
        <v>42</v>
      </c>
      <c r="N8" s="13"/>
      <c r="O8" s="13"/>
      <c r="P8" s="14"/>
      <c r="Q8" s="22"/>
      <c r="R8" s="22"/>
      <c r="S8" s="22"/>
      <c r="T8" s="23" t="s">
        <v>204</v>
      </c>
      <c r="U8" s="23" t="str">
        <f t="shared" si="0"/>
        <v/>
      </c>
      <c r="W8" s="3" t="s">
        <v>6</v>
      </c>
      <c r="X8" s="5">
        <f>-X1*B4</f>
        <v>-0.17849999442696571</v>
      </c>
      <c r="Z8" s="3" t="s">
        <v>47</v>
      </c>
      <c r="AA8" s="5">
        <f ca="1">SUM(OFFSET($AH$45,0,0,COUNT($AH$45:$AH$72)))</f>
        <v>-71.869440167851195</v>
      </c>
      <c r="AC8" s="23">
        <v>50</v>
      </c>
      <c r="AD8" s="23">
        <f t="shared" ca="1" si="1"/>
        <v>8.8272213183286397</v>
      </c>
      <c r="AE8" s="23">
        <f t="array" aca="1" ref="AE8:AG8" ca="1">FLEXCOMPBIAXGR($B$4, $B$5, $B$6,OFFSET($A$45,0,0,COUNT($A$45:$A$70),2), OFFSET($W$45,0,0,COUNT($W$45:$W$72),3), AC8, AD8,$B$3  )</f>
        <v>4.5535969474670424E-3</v>
      </c>
      <c r="AF8" s="23">
        <f ca="1"/>
        <v>33.469670372501739</v>
      </c>
      <c r="AG8" s="23">
        <f ca="1"/>
        <v>104.94644024236656</v>
      </c>
      <c r="AI8" s="23">
        <v>50</v>
      </c>
      <c r="AJ8" s="23">
        <f t="shared" ca="1" si="2"/>
        <v>8.8272213183286397</v>
      </c>
      <c r="AK8" s="23">
        <f t="array" aca="1" ref="AK8:AM8" ca="1">FLEXCOMPBIAXGR($B$4, $B$5, $B$6,OFFSET($A$45,0,0,COUNT($A$45:$A$70),2), OFFSET($W$45,0,0,COUNT($W$45:$W$72),3), AI8, AJ8,$B$3  )</f>
        <v>4.5535969474670424E-3</v>
      </c>
      <c r="AL8" s="23">
        <f ca="1"/>
        <v>33.469670372501739</v>
      </c>
      <c r="AM8" s="23">
        <f ca="1"/>
        <v>104.94644024236656</v>
      </c>
      <c r="AO8" s="23">
        <f ca="1"/>
        <v>7.5896987129522797</v>
      </c>
      <c r="AP8" s="23">
        <f ca="1"/>
        <v>8.6187576120477694</v>
      </c>
      <c r="AQ8" s="23">
        <f ca="1"/>
        <v>130.22917938689383</v>
      </c>
      <c r="AR8" s="23">
        <f t="shared" ca="1" si="3"/>
        <v>117.09115646907472</v>
      </c>
    </row>
    <row r="9" spans="1:44" x14ac:dyDescent="0.2">
      <c r="A9" s="24"/>
      <c r="B9" s="13"/>
      <c r="C9" s="13"/>
      <c r="D9" s="13"/>
      <c r="E9" s="13"/>
      <c r="F9" s="13"/>
      <c r="G9" s="13"/>
      <c r="H9" s="13"/>
      <c r="I9" s="26">
        <v>-193.47468566894531</v>
      </c>
      <c r="J9" s="26">
        <v>1899.5633544921875</v>
      </c>
      <c r="K9" s="26">
        <v>746.16998291015625</v>
      </c>
      <c r="L9" s="7">
        <f t="shared" ref="L9" si="4">J9*COS($X$6)+K9*SIN($X$6)</f>
        <v>2018.1551125432977</v>
      </c>
      <c r="M9" s="7">
        <f>SQRT(I9^2+J9^2+K9^2)</f>
        <v>2050.0104963439703</v>
      </c>
      <c r="N9" s="13"/>
      <c r="O9" s="13"/>
      <c r="P9" s="14"/>
      <c r="Q9" s="22"/>
      <c r="R9" s="22"/>
      <c r="S9" s="22"/>
      <c r="T9" s="23" t="s">
        <v>206</v>
      </c>
      <c r="U9" s="23" t="str">
        <f t="shared" si="0"/>
        <v/>
      </c>
      <c r="W9" s="3" t="s">
        <v>48</v>
      </c>
      <c r="X9" s="5">
        <f t="array" aca="1" ref="X9:X11" ca="1">MOMENTSPOLY(OFFSET($A$45,0,0,COUNT($A$45:$A$70),2))</f>
        <v>370</v>
      </c>
      <c r="Z9" s="3" t="s">
        <v>49</v>
      </c>
      <c r="AA9" s="5">
        <f ca="1">SUM(OFFSET($AI$45,0,0,COUNT($AI$45:$AI$72)))</f>
        <v>-46.676725176654273</v>
      </c>
      <c r="AC9" s="23">
        <v>60</v>
      </c>
      <c r="AD9" s="23">
        <f t="shared" ca="1" si="1"/>
        <v>7.2516745610451876</v>
      </c>
      <c r="AE9" s="23">
        <f t="array" aca="1" ref="AE9:AG9" ca="1">FLEXCOMPBIAXGR($B$4, $B$5, $B$6,OFFSET($A$45,0,0,COUNT($A$45:$A$70),2), OFFSET($W$45,0,0,COUNT($W$45:$W$72),3), AC9, AD9,$B$3  )</f>
        <v>4.9191206807499555E-3</v>
      </c>
      <c r="AF9" s="23">
        <f ca="1"/>
        <v>63.31797052583471</v>
      </c>
      <c r="AG9" s="23">
        <f ca="1"/>
        <v>75.614230809162677</v>
      </c>
      <c r="AI9" s="23">
        <v>60</v>
      </c>
      <c r="AJ9" s="23">
        <f t="shared" ca="1" si="2"/>
        <v>7.2516745610451876</v>
      </c>
      <c r="AK9" s="23">
        <f t="array" aca="1" ref="AK9:AM9" ca="1">FLEXCOMPBIAXGR($B$4, $B$5, $B$6,OFFSET($A$45,0,0,COUNT($A$45:$A$70),2), OFFSET($W$45,0,0,COUNT($W$45:$W$72),3), AI9, AJ9,$B$3  )</f>
        <v>4.9191206807499555E-3</v>
      </c>
      <c r="AL9" s="23">
        <f ca="1"/>
        <v>63.31797052583471</v>
      </c>
      <c r="AM9" s="23">
        <f ca="1"/>
        <v>75.614230809162677</v>
      </c>
      <c r="AO9" s="23">
        <f ca="1"/>
        <v>-0.27215649785011209</v>
      </c>
      <c r="AP9" s="23">
        <f ca="1"/>
        <v>-6.8508436819714946</v>
      </c>
      <c r="AQ9" s="23">
        <f ca="1"/>
        <v>152.93151622445754</v>
      </c>
      <c r="AR9" s="23">
        <f t="shared" ca="1" si="3"/>
        <v>129.01715624866654</v>
      </c>
    </row>
    <row r="10" spans="1:44" x14ac:dyDescent="0.2">
      <c r="A10" s="24"/>
      <c r="B10" s="13"/>
      <c r="C10" s="13"/>
      <c r="D10" s="13"/>
      <c r="E10" s="13"/>
      <c r="F10" s="13"/>
      <c r="G10" s="13"/>
      <c r="H10" s="13"/>
      <c r="I10" s="27">
        <f>I9/M9</f>
        <v>-9.4377412220079809E-2</v>
      </c>
      <c r="J10" s="27">
        <f>J9/M9</f>
        <v>0.92661152607750386</v>
      </c>
      <c r="K10" s="27">
        <f>K9/M9</f>
        <v>0.36398349386058787</v>
      </c>
      <c r="L10" s="13"/>
      <c r="M10" s="13"/>
      <c r="N10" s="13"/>
      <c r="O10" s="13"/>
      <c r="P10" s="14"/>
      <c r="Q10" s="22"/>
      <c r="R10" s="22"/>
      <c r="S10" s="22"/>
      <c r="T10" s="23" t="s">
        <v>129</v>
      </c>
      <c r="U10" s="23" t="str">
        <f t="shared" si="0"/>
        <v/>
      </c>
      <c r="W10" s="3" t="s">
        <v>50</v>
      </c>
      <c r="X10" s="5">
        <f ca="1"/>
        <v>4182.833333333333</v>
      </c>
      <c r="Z10" s="3" t="s">
        <v>51</v>
      </c>
      <c r="AA10" s="5">
        <f ca="1">0.8*X2*(X8*(X9-X12)-B5*X12)</f>
        <v>-49.322167691842374</v>
      </c>
      <c r="AC10" s="23">
        <v>70</v>
      </c>
      <c r="AD10" s="23">
        <f t="shared" ca="1" si="1"/>
        <v>5.1134676865008801</v>
      </c>
      <c r="AE10" s="23">
        <f t="array" aca="1" ref="AE10:AG10" ca="1">FLEXCOMPBIAXGR($B$4, $B$5, $B$6,OFFSET($A$45,0,0,COUNT($A$45:$A$70),2), OFFSET($W$45,0,0,COUNT($W$45:$W$72),3), AC10, AD10,$B$3  )</f>
        <v>-7.6337334516622946E-3</v>
      </c>
      <c r="AF10" s="23">
        <f ca="1"/>
        <v>100.20223776150608</v>
      </c>
      <c r="AG10" s="23">
        <f ca="1"/>
        <v>42.501632841803435</v>
      </c>
      <c r="AI10" s="23">
        <v>70</v>
      </c>
      <c r="AJ10" s="23">
        <f t="shared" ca="1" si="2"/>
        <v>5.1134676865008801</v>
      </c>
      <c r="AK10" s="23">
        <f t="array" aca="1" ref="AK10:AM10" ca="1">FLEXCOMPBIAXGR($B$4, $B$5, $B$6,OFFSET($A$45,0,0,COUNT($A$45:$A$70),2), OFFSET($W$45,0,0,COUNT($W$45:$W$72),3), AI10, AJ10,$B$3  )</f>
        <v>-7.6337334516622946E-3</v>
      </c>
      <c r="AL10" s="23">
        <f ca="1"/>
        <v>100.20223776150608</v>
      </c>
      <c r="AM10" s="23">
        <f ca="1"/>
        <v>42.501632841803435</v>
      </c>
      <c r="AO10" s="23">
        <f ca="1"/>
        <v>-3.477835791422331</v>
      </c>
      <c r="AP10" s="23">
        <f ca="1"/>
        <v>-12.582101445221024</v>
      </c>
      <c r="AQ10" s="23">
        <f ca="1"/>
        <v>160.73238686061509</v>
      </c>
      <c r="AR10" s="23">
        <f t="shared" ca="1" si="3"/>
        <v>132.90727950959027</v>
      </c>
    </row>
    <row r="11" spans="1:44" x14ac:dyDescent="0.2">
      <c r="A11" s="24"/>
      <c r="B11" s="13"/>
      <c r="C11" s="13"/>
      <c r="D11" s="13"/>
      <c r="E11" s="13"/>
      <c r="F11" s="13"/>
      <c r="G11" s="13"/>
      <c r="H11" s="13"/>
      <c r="I11" s="24"/>
      <c r="J11" s="13"/>
      <c r="K11" s="13"/>
      <c r="L11" s="13"/>
      <c r="M11" s="13"/>
      <c r="N11" s="13"/>
      <c r="O11" s="13"/>
      <c r="P11" s="14"/>
      <c r="Q11" s="22"/>
      <c r="R11" s="22"/>
      <c r="S11" s="22"/>
      <c r="T11" s="23" t="s">
        <v>201</v>
      </c>
      <c r="U11" s="23" t="str">
        <f t="shared" si="0"/>
        <v/>
      </c>
      <c r="W11" s="3" t="s">
        <v>55</v>
      </c>
      <c r="X11" s="5">
        <f ca="1"/>
        <v>4153</v>
      </c>
      <c r="Z11" s="3" t="s">
        <v>56</v>
      </c>
      <c r="AA11" s="5">
        <f t="array" aca="1" ref="AA11:AA13" ca="1">MOMENTSPOLY(OFFSET($H$45,0,0,COUNT($H$45:$H$65),2))</f>
        <v>47.487966843863255</v>
      </c>
      <c r="AC11" s="23">
        <v>80</v>
      </c>
      <c r="AD11" s="23">
        <f t="shared" ca="1" si="1"/>
        <v>5.4174744764329841</v>
      </c>
      <c r="AE11" s="23">
        <f t="array" aca="1" ref="AE11:AG11" ca="1">FLEXCOMPBIAXGR($B$4, $B$5, $B$6,OFFSET($A$45,0,0,COUNT($A$45:$A$70),2), OFFSET($W$45,0,0,COUNT($W$45:$W$72),3), AC11, AD11,$B$3  )</f>
        <v>5.8983044171103671E-3</v>
      </c>
      <c r="AF11" s="23">
        <f ca="1"/>
        <v>122.19461763837431</v>
      </c>
      <c r="AG11" s="23">
        <f ca="1"/>
        <v>-48.357073555473939</v>
      </c>
      <c r="AI11" s="23">
        <v>80</v>
      </c>
      <c r="AJ11" s="23">
        <f t="shared" ca="1" si="2"/>
        <v>5.4174744764329841</v>
      </c>
      <c r="AK11" s="23">
        <f t="array" aca="1" ref="AK11:AM11" ca="1">FLEXCOMPBIAXGR($B$4, $B$5, $B$6,OFFSET($A$45,0,0,COUNT($A$45:$A$70),2), OFFSET($W$45,0,0,COUNT($W$45:$W$72),3), AI11, AJ11,$B$3  )</f>
        <v>5.8983044171103671E-3</v>
      </c>
      <c r="AL11" s="23">
        <f ca="1"/>
        <v>122.19461763837431</v>
      </c>
      <c r="AM11" s="23">
        <f ca="1"/>
        <v>-48.357073555473939</v>
      </c>
      <c r="AO11" s="23">
        <f ca="1"/>
        <v>-9.4694900885111295</v>
      </c>
      <c r="AP11" s="23">
        <f ca="1"/>
        <v>-11.052565424216441</v>
      </c>
      <c r="AQ11" s="23">
        <f ca="1"/>
        <v>161.42846876210879</v>
      </c>
      <c r="AR11" s="23">
        <f t="shared" ca="1" si="3"/>
        <v>134.2748721299007</v>
      </c>
    </row>
    <row r="12" spans="1:44" x14ac:dyDescent="0.2">
      <c r="A12" s="24"/>
      <c r="B12" s="13"/>
      <c r="C12" s="13"/>
      <c r="D12" s="13"/>
      <c r="E12" s="13"/>
      <c r="F12" s="13"/>
      <c r="G12" s="13"/>
      <c r="H12" s="13"/>
      <c r="I12" s="25" t="s">
        <v>125</v>
      </c>
      <c r="J12" s="13"/>
      <c r="K12" s="13"/>
      <c r="L12" s="13"/>
      <c r="M12" s="13"/>
      <c r="N12" s="13"/>
      <c r="O12" s="13"/>
      <c r="P12" s="14"/>
      <c r="Q12" s="22"/>
      <c r="R12" s="22"/>
      <c r="S12" s="22"/>
      <c r="T12" s="23" t="s">
        <v>130</v>
      </c>
      <c r="U12" s="23" t="str">
        <f t="shared" si="0"/>
        <v/>
      </c>
      <c r="W12" s="3" t="s">
        <v>57</v>
      </c>
      <c r="X12" s="5">
        <f t="array" aca="1" ref="X12:X14" ca="1">MOMENTSPUNT(OFFSET($W$45,0,0,COUNT($W$45:$W$72),3))</f>
        <v>7.1628312501847287</v>
      </c>
      <c r="Z12" s="3" t="s">
        <v>58</v>
      </c>
      <c r="AA12" s="5">
        <f ca="1"/>
        <v>410.55529338098785</v>
      </c>
      <c r="AC12" s="23">
        <v>90</v>
      </c>
      <c r="AD12" s="23">
        <f t="shared" ca="1" si="1"/>
        <v>7.228790283203125</v>
      </c>
      <c r="AE12" s="23">
        <f t="array" aca="1" ref="AE12:AG12" ca="1">FLEXCOMPBIAXGR($B$4, $B$5, $B$6,OFFSET($A$45,0,0,COUNT($A$45:$A$70),2), OFFSET($W$45,0,0,COUNT($W$45:$W$72),3), AC12, AD12,$B$3  )</f>
        <v>-1.6681932726001492E-3</v>
      </c>
      <c r="AF12" s="23">
        <f ca="1"/>
        <v>123.47595105935075</v>
      </c>
      <c r="AG12" s="23">
        <f ca="1"/>
        <v>-120.0772919832937</v>
      </c>
      <c r="AI12" s="23">
        <v>90</v>
      </c>
      <c r="AJ12" s="23">
        <f t="shared" ca="1" si="2"/>
        <v>7.228790283203125</v>
      </c>
      <c r="AK12" s="23">
        <f t="array" aca="1" ref="AK12:AM12" ca="1">FLEXCOMPBIAXGR($B$4, $B$5, $B$6,OFFSET($A$45,0,0,COUNT($A$45:$A$70),2), OFFSET($W$45,0,0,COUNT($W$45:$W$72),3), AI12, AJ12,$B$3  )</f>
        <v>-1.6681932726001492E-3</v>
      </c>
      <c r="AL12" s="23">
        <f ca="1"/>
        <v>123.47595105935075</v>
      </c>
      <c r="AM12" s="23">
        <f ca="1"/>
        <v>-120.0772919832937</v>
      </c>
      <c r="AO12" s="23">
        <f ca="1"/>
        <v>-16.418201540347766</v>
      </c>
      <c r="AP12" s="23">
        <f ca="1"/>
        <v>-12.002635371938378</v>
      </c>
      <c r="AQ12" s="23">
        <f ca="1"/>
        <v>162.77647689896585</v>
      </c>
      <c r="AR12" s="23">
        <f t="shared" ca="1" si="3"/>
        <v>134.96724644706609</v>
      </c>
    </row>
    <row r="13" spans="1:44" x14ac:dyDescent="0.2">
      <c r="A13" s="24"/>
      <c r="B13" s="13"/>
      <c r="C13" s="13"/>
      <c r="D13" s="13"/>
      <c r="E13" s="13"/>
      <c r="F13" s="13"/>
      <c r="G13" s="13"/>
      <c r="H13" s="13"/>
      <c r="I13" s="6" t="s">
        <v>52</v>
      </c>
      <c r="J13" s="6" t="s">
        <v>53</v>
      </c>
      <c r="K13" s="6" t="s">
        <v>54</v>
      </c>
      <c r="L13" s="13"/>
      <c r="M13" s="6" t="s">
        <v>127</v>
      </c>
      <c r="N13" s="13"/>
      <c r="O13" s="13"/>
      <c r="P13" s="14"/>
      <c r="Q13" s="22"/>
      <c r="R13" s="22"/>
      <c r="S13" s="22"/>
      <c r="T13" s="23" t="s">
        <v>131</v>
      </c>
      <c r="U13" s="23" t="str">
        <f t="shared" si="0"/>
        <v/>
      </c>
      <c r="W13" s="3" t="s">
        <v>59</v>
      </c>
      <c r="X13" s="5">
        <f ca="1"/>
        <v>77.785834102883285</v>
      </c>
      <c r="Z13" s="3" t="s">
        <v>60</v>
      </c>
      <c r="AA13" s="5">
        <f ca="1"/>
        <v>130.71707837778663</v>
      </c>
      <c r="AC13" s="23">
        <v>100</v>
      </c>
      <c r="AD13" s="23">
        <f t="shared" ca="1" si="1"/>
        <v>8.5867026790956658</v>
      </c>
      <c r="AE13" s="23">
        <f t="array" aca="1" ref="AE13:AG13" ca="1">FLEXCOMPBIAXGR($B$4, $B$5, $B$6,OFFSET($A$45,0,0,COUNT($A$45:$A$70),2), OFFSET($W$45,0,0,COUNT($W$45:$W$72),3), AC13, AD13,$B$3  )</f>
        <v>2.8477818409129441E-3</v>
      </c>
      <c r="AF13" s="23">
        <f ca="1"/>
        <v>121.99045988661926</v>
      </c>
      <c r="AG13" s="23">
        <f ca="1"/>
        <v>-157.50003917941621</v>
      </c>
      <c r="AI13" s="23">
        <v>100</v>
      </c>
      <c r="AJ13" s="23">
        <f t="shared" ca="1" si="2"/>
        <v>8.5867026790956658</v>
      </c>
      <c r="AK13" s="23">
        <f t="array" aca="1" ref="AK13:AM13" ca="1">FLEXCOMPBIAXGR($B$4, $B$5, $B$6,OFFSET($A$45,0,0,COUNT($A$45:$A$70),2), OFFSET($W$45,0,0,COUNT($W$45:$W$72),3), AI13, AJ13,$B$3  )</f>
        <v>2.8477818409129441E-3</v>
      </c>
      <c r="AL13" s="23">
        <f ca="1"/>
        <v>121.99045988661926</v>
      </c>
      <c r="AM13" s="23">
        <f ca="1"/>
        <v>-157.50003917941621</v>
      </c>
      <c r="AO13" s="23">
        <f ca="1"/>
        <v>-24.675188609082962</v>
      </c>
      <c r="AP13" s="23">
        <f ca="1"/>
        <v>-16.673750854200989</v>
      </c>
      <c r="AQ13" s="23">
        <f ca="1"/>
        <v>161.64784370286623</v>
      </c>
      <c r="AR13" s="23">
        <f t="shared" ca="1" si="3"/>
        <v>131.65426368655807</v>
      </c>
    </row>
    <row r="14" spans="1:44" x14ac:dyDescent="0.2">
      <c r="A14" s="24"/>
      <c r="B14" s="13"/>
      <c r="C14" s="13"/>
      <c r="D14" s="13"/>
      <c r="E14" s="13"/>
      <c r="F14" s="13"/>
      <c r="G14" s="13"/>
      <c r="H14" s="13"/>
      <c r="I14" s="7">
        <f ca="1">ROUND(I5/I10-1,3)</f>
        <v>-1.6579999999999999</v>
      </c>
      <c r="J14" s="7">
        <f ca="1">ROUND(J5/J10-1,3)</f>
        <v>-0.92</v>
      </c>
      <c r="K14" s="7">
        <f ca="1">ROUND(K5/K10-1,3)</f>
        <v>1.7350000000000001</v>
      </c>
      <c r="L14" s="13"/>
      <c r="M14" s="7">
        <f ca="1">M4/M9</f>
        <v>6.3141898584547107E-2</v>
      </c>
      <c r="N14" s="13"/>
      <c r="O14" s="13"/>
      <c r="P14" s="14"/>
      <c r="Q14" s="22"/>
      <c r="R14" s="22"/>
      <c r="S14" s="22"/>
      <c r="T14" s="23" t="s">
        <v>202</v>
      </c>
      <c r="U14" s="23" t="str">
        <f t="shared" si="0"/>
        <v/>
      </c>
      <c r="W14" s="3" t="s">
        <v>62</v>
      </c>
      <c r="X14" s="5">
        <f ca="1"/>
        <v>78.288488927457649</v>
      </c>
      <c r="Z14" s="3" t="s">
        <v>63</v>
      </c>
      <c r="AA14" s="5">
        <f ca="1">AA11*$X$8</f>
        <v>-8.4766018169775226</v>
      </c>
      <c r="AC14" s="23">
        <v>110</v>
      </c>
      <c r="AD14" s="23">
        <f t="shared" ca="1" si="1"/>
        <v>9.59920074119864</v>
      </c>
      <c r="AE14" s="23">
        <f t="array" aca="1" ref="AE14:AG14" ca="1">FLEXCOMPBIAXGR($B$4, $B$5, $B$6,OFFSET($A$45,0,0,COUNT($A$45:$A$70),2), OFFSET($W$45,0,0,COUNT($W$45:$W$72),3), AC14, AD14,$B$3  )</f>
        <v>-5.6461659227124983E-5</v>
      </c>
      <c r="AF14" s="23">
        <f ca="1"/>
        <v>120.51512308083603</v>
      </c>
      <c r="AG14" s="23">
        <f ca="1"/>
        <v>-182.19846940607374</v>
      </c>
      <c r="AI14" s="23">
        <v>110</v>
      </c>
      <c r="AJ14" s="23">
        <f t="shared" ca="1" si="2"/>
        <v>9.59920074119864</v>
      </c>
      <c r="AK14" s="23">
        <f t="array" aca="1" ref="AK14:AM14" ca="1">FLEXCOMPBIAXGR($B$4, $B$5, $B$6,OFFSET($A$45,0,0,COUNT($A$45:$A$70),2), OFFSET($W$45,0,0,COUNT($W$45:$W$72),3), AI14, AJ14,$B$3  )</f>
        <v>-5.6461659227124983E-5</v>
      </c>
      <c r="AL14" s="23">
        <f ca="1"/>
        <v>120.51512308083603</v>
      </c>
      <c r="AM14" s="23">
        <f ca="1"/>
        <v>-182.19846940607374</v>
      </c>
      <c r="AO14" s="23">
        <f ca="1"/>
        <v>-35.286572923933669</v>
      </c>
      <c r="AP14" s="23">
        <f ca="1"/>
        <v>-27.255463326061111</v>
      </c>
      <c r="AQ14" s="23">
        <f ca="1"/>
        <v>150.51540922564237</v>
      </c>
      <c r="AR14" s="23">
        <f t="shared" ca="1" si="3"/>
        <v>116.7224363873864</v>
      </c>
    </row>
    <row r="15" spans="1:44" x14ac:dyDescent="0.2">
      <c r="A15" s="24"/>
      <c r="B15" s="13"/>
      <c r="C15" s="13"/>
      <c r="D15" s="13"/>
      <c r="E15" s="13"/>
      <c r="F15" s="13"/>
      <c r="G15" s="13"/>
      <c r="H15" s="13"/>
      <c r="I15" s="24"/>
      <c r="J15" s="13"/>
      <c r="K15" s="13"/>
      <c r="L15" s="13"/>
      <c r="M15" s="13"/>
      <c r="N15" s="13"/>
      <c r="O15" s="13"/>
      <c r="P15" s="14"/>
      <c r="Q15" s="22"/>
      <c r="R15" s="22"/>
      <c r="S15" s="22"/>
      <c r="T15" s="23" t="s">
        <v>205</v>
      </c>
      <c r="U15" s="23" t="str">
        <f t="shared" si="0"/>
        <v/>
      </c>
      <c r="W15" s="3" t="s">
        <v>64</v>
      </c>
      <c r="X15" s="5">
        <f ca="1">(-X11*X8+(B5+X8)*X14)/(-X8*X9+(B5+X8)*X12)</f>
        <v>11.134886976853462</v>
      </c>
      <c r="Z15" s="3" t="s">
        <v>65</v>
      </c>
      <c r="AA15" s="5">
        <f ca="1">AA12*$X$8</f>
        <v>-73.284117580467608</v>
      </c>
      <c r="AC15" s="23">
        <v>120</v>
      </c>
      <c r="AD15" s="23">
        <f t="shared" ca="1" si="1"/>
        <v>9.9597726071287092</v>
      </c>
      <c r="AE15" s="23">
        <f t="array" aca="1" ref="AE15:AG15" ca="1">FLEXCOMPBIAXGR($B$4, $B$5, $B$6,OFFSET($A$45,0,0,COUNT($A$45:$A$70),2), OFFSET($W$45,0,0,COUNT($W$45:$W$72),3), AC15, AD15,$B$3  )</f>
        <v>-1.5190916820220224E-3</v>
      </c>
      <c r="AF15" s="23">
        <f ca="1"/>
        <v>120.06627957956501</v>
      </c>
      <c r="AG15" s="23">
        <f ca="1"/>
        <v>-198.67745249857359</v>
      </c>
      <c r="AI15" s="23">
        <v>120</v>
      </c>
      <c r="AJ15" s="23">
        <f t="shared" ca="1" si="2"/>
        <v>9.9597726071287092</v>
      </c>
      <c r="AK15" s="23">
        <f t="array" aca="1" ref="AK15:AM15" ca="1">FLEXCOMPBIAXGR($B$4, $B$5, $B$6,OFFSET($A$45,0,0,COUNT($A$45:$A$70),2), OFFSET($W$45,0,0,COUNT($W$45:$W$72),3), AI15, AJ15,$B$3  )</f>
        <v>-1.5190916820220224E-3</v>
      </c>
      <c r="AL15" s="23">
        <f ca="1"/>
        <v>120.06627957956501</v>
      </c>
      <c r="AM15" s="23">
        <f ca="1"/>
        <v>-198.67745249857359</v>
      </c>
      <c r="AO15" s="23">
        <f ca="1"/>
        <v>-42.393555062310199</v>
      </c>
      <c r="AP15" s="23">
        <f ca="1"/>
        <v>-25.827688819542761</v>
      </c>
      <c r="AQ15" s="23">
        <f ca="1"/>
        <v>126.95215233856493</v>
      </c>
      <c r="AR15" s="23">
        <f t="shared" ca="1" si="3"/>
        <v>97.029944580537887</v>
      </c>
    </row>
    <row r="16" spans="1:44" x14ac:dyDescent="0.2">
      <c r="A16" s="24"/>
      <c r="B16" s="13"/>
      <c r="C16" s="13"/>
      <c r="D16" s="13"/>
      <c r="E16" s="13"/>
      <c r="F16" s="13"/>
      <c r="G16" s="13"/>
      <c r="H16" s="13"/>
      <c r="I16" s="24"/>
      <c r="J16" s="13"/>
      <c r="K16" s="13"/>
      <c r="L16" s="13"/>
      <c r="M16" s="13"/>
      <c r="N16" s="13"/>
      <c r="P16" s="14"/>
      <c r="Q16" s="22"/>
      <c r="R16" s="22"/>
      <c r="S16" s="22"/>
      <c r="T16" s="23" t="s">
        <v>132</v>
      </c>
      <c r="U16" s="23" t="str">
        <f t="shared" si="0"/>
        <v/>
      </c>
      <c r="W16" s="3" t="s">
        <v>66</v>
      </c>
      <c r="X16" s="5">
        <f ca="1">(-X10*X8+(B5+X8)*X13)/(-X8*X9+(B5+X8)*X12)</f>
        <v>11.169718946458319</v>
      </c>
      <c r="Z16" s="3" t="s">
        <v>67</v>
      </c>
      <c r="AA16" s="5">
        <f ca="1">AA13*$X$8</f>
        <v>-23.332997761944153</v>
      </c>
      <c r="AC16" s="23">
        <v>130</v>
      </c>
      <c r="AD16" s="23">
        <f t="shared" ca="1" si="1"/>
        <v>9.809746905268856</v>
      </c>
      <c r="AE16" s="23">
        <f t="array" aca="1" ref="AE16:AG16" ca="1">FLEXCOMPBIAXGR($B$4, $B$5, $B$6,OFFSET($A$45,0,0,COUNT($A$45:$A$70),2), OFFSET($W$45,0,0,COUNT($W$45:$W$72),3), AC16, AD16,$B$3  )</f>
        <v>-3.3997840970148019E-3</v>
      </c>
      <c r="AF16" s="23">
        <f ca="1"/>
        <v>120.04066143709804</v>
      </c>
      <c r="AG16" s="23">
        <f ca="1"/>
        <v>-208.8475117404179</v>
      </c>
      <c r="AI16" s="23">
        <v>130</v>
      </c>
      <c r="AJ16" s="23">
        <f t="shared" ca="1" si="2"/>
        <v>9.809746905268856</v>
      </c>
      <c r="AK16" s="23">
        <f t="array" aca="1" ref="AK16:AM16" ca="1">FLEXCOMPBIAXGR($B$4, $B$5, $B$6,OFFSET($A$45,0,0,COUNT($A$45:$A$70),2), OFFSET($W$45,0,0,COUNT($W$45:$W$72),3), AI16, AJ16,$B$3  )</f>
        <v>-3.3997840970148019E-3</v>
      </c>
      <c r="AL16" s="23">
        <f ca="1"/>
        <v>120.04066143709804</v>
      </c>
      <c r="AM16" s="23">
        <f ca="1"/>
        <v>-208.8475117404179</v>
      </c>
      <c r="AO16" s="23">
        <f ca="1"/>
        <v>-49.322167691842381</v>
      </c>
      <c r="AP16" s="23">
        <f ca="1"/>
        <v>6.6687368953190636E-15</v>
      </c>
      <c r="AQ16" s="23">
        <f ca="1"/>
        <v>-1.1542047787201506E-14</v>
      </c>
      <c r="AR16" s="23">
        <f t="shared" ca="1" si="3"/>
        <v>-6.6613381477509408E-15</v>
      </c>
    </row>
    <row r="17" spans="1:44" x14ac:dyDescent="0.2">
      <c r="A17" s="24"/>
      <c r="B17" s="13"/>
      <c r="C17" s="13"/>
      <c r="D17" s="13"/>
      <c r="E17" s="13"/>
      <c r="F17" s="13"/>
      <c r="G17" s="13"/>
      <c r="H17" s="13"/>
      <c r="I17" s="25" t="s">
        <v>68</v>
      </c>
      <c r="J17" s="13"/>
      <c r="K17" s="13"/>
      <c r="L17" s="13"/>
      <c r="Q17" s="22"/>
      <c r="R17" s="22"/>
      <c r="S17" s="22"/>
      <c r="T17" s="23" t="s">
        <v>207</v>
      </c>
      <c r="U17" s="23" t="str">
        <f t="shared" si="0"/>
        <v/>
      </c>
      <c r="W17" s="3" t="s">
        <v>69</v>
      </c>
      <c r="X17" s="5">
        <f>IF(B4&lt;=B3,0.85,IF(B4&gt;=2*B3,0.65,0.85-(0.85-0.65)*(B4/B3-1)))</f>
        <v>0.85</v>
      </c>
      <c r="Z17" s="3" t="s">
        <v>70</v>
      </c>
      <c r="AA17" s="5">
        <f ca="1">AA14+AA7</f>
        <v>10.023970456800869</v>
      </c>
      <c r="AC17" s="23">
        <v>140</v>
      </c>
      <c r="AD17" s="23">
        <f t="shared" ca="1" si="1"/>
        <v>9.3115894892160895</v>
      </c>
      <c r="AE17" s="23">
        <f t="array" aca="1" ref="AE17:AG17" ca="1">FLEXCOMPBIAXGR($B$4, $B$5, $B$6,OFFSET($A$45,0,0,COUNT($A$45:$A$70),2), OFFSET($W$45,0,0,COUNT($W$45:$W$72),3), AC17, AD17,$B$3  )</f>
        <v>-8.9269049981588466E-4</v>
      </c>
      <c r="AF17" s="23">
        <f ca="1"/>
        <v>120.64107123741151</v>
      </c>
      <c r="AG17" s="23">
        <f ca="1"/>
        <v>-218.76571303514518</v>
      </c>
      <c r="AI17" s="23">
        <v>140</v>
      </c>
      <c r="AJ17" s="23">
        <f t="shared" ca="1" si="2"/>
        <v>9.3115894892160895</v>
      </c>
      <c r="AK17" s="23">
        <f t="array" aca="1" ref="AK17:AM17" ca="1">FLEXCOMPBIAXGR($B$4, $B$5, $B$6,OFFSET($A$45,0,0,COUNT($A$45:$A$70),2), OFFSET($W$45,0,0,COUNT($W$45:$W$72),3), AI17, AJ17,$B$3  )</f>
        <v>-8.9269049981588466E-4</v>
      </c>
      <c r="AL17" s="23">
        <f ca="1"/>
        <v>120.64107123741151</v>
      </c>
      <c r="AM17" s="23">
        <f ca="1"/>
        <v>-218.76571303514518</v>
      </c>
      <c r="AO17" s="23">
        <f t="array" aca="1" ref="AO17:AQ30" ca="1">DIAGRAFLEXCOMPGR( $B$4,$B$5, $B$6,OFFSET($A$45,0,0,COUNT($A$45:$A$70),2), OFFSET($W$45,0,0,COUNT($W$45:$W$72),3), $B$7+180,$B$3)</f>
        <v>27.0755008961168</v>
      </c>
      <c r="AP17" s="23">
        <f ca="1"/>
        <v>-5.5521676132750777</v>
      </c>
      <c r="AQ17" s="23">
        <f ca="1"/>
        <v>8.3952957881295962</v>
      </c>
      <c r="AR17" s="23">
        <f t="shared" ca="1" si="3"/>
        <v>4.4944556181671924</v>
      </c>
    </row>
    <row r="18" spans="1:44" x14ac:dyDescent="0.2">
      <c r="A18" s="24"/>
      <c r="B18" s="13"/>
      <c r="C18" s="13"/>
      <c r="D18" s="13"/>
      <c r="E18" s="13"/>
      <c r="F18" s="13"/>
      <c r="G18" s="13"/>
      <c r="H18" s="13"/>
      <c r="I18" s="24"/>
      <c r="J18" s="13"/>
      <c r="K18" s="13"/>
      <c r="L18" s="13"/>
      <c r="Q18" s="22"/>
      <c r="R18" s="22"/>
      <c r="S18" s="22"/>
      <c r="T18" s="23" t="s">
        <v>133</v>
      </c>
      <c r="U18" s="23" t="str">
        <f t="shared" si="0"/>
        <v/>
      </c>
      <c r="W18" s="3" t="s">
        <v>71</v>
      </c>
      <c r="X18" s="5">
        <f ca="1">MAX(F45:F61)</f>
        <v>13.178792818487999</v>
      </c>
      <c r="Z18" s="3" t="s">
        <v>72</v>
      </c>
      <c r="AA18" s="5">
        <f ca="1">AA15+AA8</f>
        <v>-145.1535577483188</v>
      </c>
      <c r="AC18" s="23">
        <v>150</v>
      </c>
      <c r="AD18" s="23">
        <f t="shared" ca="1" si="1"/>
        <v>8.5101414397050252</v>
      </c>
      <c r="AE18" s="23">
        <f t="array" aca="1" ref="AE18:AG18" ca="1">FLEXCOMPBIAXGR($B$4, $B$5, $B$6,OFFSET($A$45,0,0,COUNT($A$45:$A$70),2), OFFSET($W$45,0,0,COUNT($W$45:$W$72),3), AC18, AD18,$B$3  )</f>
        <v>-3.4544943508514336E-3</v>
      </c>
      <c r="AF18" s="23">
        <f ca="1"/>
        <v>121.16256250186956</v>
      </c>
      <c r="AG18" s="23">
        <f ca="1"/>
        <v>-228.04717156029309</v>
      </c>
      <c r="AI18" s="23">
        <v>150</v>
      </c>
      <c r="AJ18" s="23">
        <f t="shared" ca="1" si="2"/>
        <v>8.5101414397050252</v>
      </c>
      <c r="AK18" s="23">
        <f t="array" aca="1" ref="AK18:AM18" ca="1">FLEXCOMPBIAXGR($B$4, $B$5, $B$6,OFFSET($A$45,0,0,COUNT($A$45:$A$70),2), OFFSET($W$45,0,0,COUNT($W$45:$W$72),3), AI18, AJ18,$B$3  )</f>
        <v>-3.4544943508514336E-3</v>
      </c>
      <c r="AL18" s="23">
        <f ca="1"/>
        <v>121.16256250186956</v>
      </c>
      <c r="AM18" s="23">
        <f ca="1"/>
        <v>-228.04717156029309</v>
      </c>
      <c r="AO18" s="23">
        <f ca="1"/>
        <v>25.600944891593077</v>
      </c>
      <c r="AP18" s="23">
        <f ca="1"/>
        <v>0.54495480647113315</v>
      </c>
      <c r="AQ18" s="23">
        <f ca="1"/>
        <v>-3.6514123396417357</v>
      </c>
      <c r="AR18" s="23">
        <f t="shared" ca="1" si="3"/>
        <v>-2.8897384425861499</v>
      </c>
    </row>
    <row r="19" spans="1:44" x14ac:dyDescent="0.2">
      <c r="A19" s="24"/>
      <c r="B19" s="13"/>
      <c r="C19" s="13"/>
      <c r="D19" s="13"/>
      <c r="E19" s="13"/>
      <c r="F19" s="13"/>
      <c r="G19" s="13"/>
      <c r="H19" s="13"/>
      <c r="I19" s="24"/>
      <c r="J19" s="13"/>
      <c r="K19" s="13"/>
      <c r="L19" s="13"/>
      <c r="M19" s="13"/>
      <c r="N19" s="13"/>
      <c r="O19" s="13"/>
      <c r="P19" s="14"/>
      <c r="Q19" s="22"/>
      <c r="R19" s="22"/>
      <c r="S19" s="22"/>
      <c r="T19" s="23" t="s">
        <v>198</v>
      </c>
      <c r="U19" s="23" t="str">
        <f t="shared" si="0"/>
        <v/>
      </c>
      <c r="W19" s="3" t="s">
        <v>17</v>
      </c>
      <c r="X19" s="5">
        <f ca="1">X18-MIN(F45:F61)</f>
        <v>24.382685902179844</v>
      </c>
      <c r="Z19" s="3" t="s">
        <v>73</v>
      </c>
      <c r="AA19" s="5">
        <f ca="1">AA16+AA9</f>
        <v>-70.009722938598429</v>
      </c>
      <c r="AC19" s="23">
        <v>160</v>
      </c>
      <c r="AD19" s="23">
        <f t="shared" ca="1" si="1"/>
        <v>7.5147504223561352</v>
      </c>
      <c r="AE19" s="23">
        <f t="array" aca="1" ref="AE19:AG19" ca="1">FLEXCOMPBIAXGR($B$4, $B$5, $B$6,OFFSET($A$45,0,0,COUNT($A$45:$A$70),2), OFFSET($W$45,0,0,COUNT($W$45:$W$72),3), AC19, AD19,$B$3  )</f>
        <v>-1.6284288481074327E-3</v>
      </c>
      <c r="AF19" s="23">
        <f ca="1"/>
        <v>117.69151443669902</v>
      </c>
      <c r="AG19" s="23">
        <f ca="1"/>
        <v>-229.65422016990127</v>
      </c>
      <c r="AI19" s="23">
        <v>160</v>
      </c>
      <c r="AJ19" s="23">
        <f t="shared" ca="1" si="2"/>
        <v>7.5147504223561352</v>
      </c>
      <c r="AK19" s="23">
        <f t="array" aca="1" ref="AK19:AM19" ca="1">FLEXCOMPBIAXGR($B$4, $B$5, $B$6,OFFSET($A$45,0,0,COUNT($A$45:$A$70),2), OFFSET($W$45,0,0,COUNT($W$45:$W$72),3), AI19, AJ19,$B$3  )</f>
        <v>-1.6284288481074327E-3</v>
      </c>
      <c r="AL19" s="23">
        <f ca="1"/>
        <v>117.69151443669902</v>
      </c>
      <c r="AM19" s="23">
        <f ca="1"/>
        <v>-229.65422016990127</v>
      </c>
      <c r="AO19" s="23">
        <f ca="1"/>
        <v>19.028341279938768</v>
      </c>
      <c r="AP19" s="23">
        <f ca="1"/>
        <v>22.794747765393559</v>
      </c>
      <c r="AQ19" s="23">
        <f ca="1"/>
        <v>-65.079106626440122</v>
      </c>
      <c r="AR19" s="23">
        <f t="shared" ca="1" si="3"/>
        <v>-44.96278571139657</v>
      </c>
    </row>
    <row r="20" spans="1:44" x14ac:dyDescent="0.2">
      <c r="A20" s="24"/>
      <c r="B20" s="13"/>
      <c r="C20" s="13"/>
      <c r="D20" s="13"/>
      <c r="E20" s="13"/>
      <c r="F20" s="13"/>
      <c r="G20" s="13"/>
      <c r="H20" s="13"/>
      <c r="I20" s="29" t="s">
        <v>74</v>
      </c>
      <c r="J20" s="30"/>
      <c r="K20" s="31" t="s">
        <v>75</v>
      </c>
      <c r="L20" s="32"/>
      <c r="M20" s="33"/>
      <c r="N20" s="13"/>
      <c r="O20" s="13"/>
      <c r="P20" s="14"/>
      <c r="Q20" s="22"/>
      <c r="R20" s="22"/>
      <c r="S20" s="22"/>
      <c r="T20" s="23" t="s">
        <v>203</v>
      </c>
      <c r="U20" s="23" t="str">
        <f t="shared" si="0"/>
        <v/>
      </c>
      <c r="W20" s="3" t="s">
        <v>76</v>
      </c>
      <c r="X20" s="5">
        <f ca="1">MIN(IF(B8&lt;=0,0,X17*B8),X19)</f>
        <v>6.8</v>
      </c>
      <c r="Z20" s="3" t="s">
        <v>77</v>
      </c>
      <c r="AA20" s="5">
        <f ca="1">-AA18*COS(X6)-AA19*SIN(X6)</f>
        <v>160.71152992903484</v>
      </c>
      <c r="AC20" s="23">
        <v>170</v>
      </c>
      <c r="AD20" s="23">
        <f t="shared" ca="1" si="1"/>
        <v>7.812769633097127</v>
      </c>
      <c r="AE20" s="23">
        <f t="array" aca="1" ref="AE20:AG20" ca="1">FLEXCOMPBIAXGR($B$4, $B$5, $B$6,OFFSET($A$45,0,0,COUNT($A$45:$A$70),2), OFFSET($W$45,0,0,COUNT($W$45:$W$72),3), AC20, AD20,$B$3  )</f>
        <v>1.2009176732590277E-3</v>
      </c>
      <c r="AF20" s="23">
        <f ca="1"/>
        <v>113.80087143558046</v>
      </c>
      <c r="AG20" s="23">
        <f ca="1"/>
        <v>-230.81849188920663</v>
      </c>
      <c r="AI20" s="23">
        <v>170</v>
      </c>
      <c r="AJ20" s="23">
        <f t="shared" ca="1" si="2"/>
        <v>7.812769633097127</v>
      </c>
      <c r="AK20" s="23">
        <f t="array" aca="1" ref="AK20:AM20" ca="1">FLEXCOMPBIAXGR($B$4, $B$5, $B$6,OFFSET($A$45,0,0,COUNT($A$45:$A$70),2), OFFSET($W$45,0,0,COUNT($W$45:$W$72),3), AI20, AJ20,$B$3  )</f>
        <v>1.2009176732590277E-3</v>
      </c>
      <c r="AL20" s="23">
        <f ca="1"/>
        <v>113.80087143558046</v>
      </c>
      <c r="AM20" s="23">
        <f ca="1"/>
        <v>-230.81849188920663</v>
      </c>
      <c r="AO20" s="23">
        <f ca="1"/>
        <v>13.279953148413691</v>
      </c>
      <c r="AP20" s="23">
        <f ca="1"/>
        <v>39.635383600932435</v>
      </c>
      <c r="AQ20" s="23">
        <f ca="1"/>
        <v>-116.08256569963757</v>
      </c>
      <c r="AR20" s="23">
        <f t="shared" ca="1" si="3"/>
        <v>-80.712759031896042</v>
      </c>
    </row>
    <row r="21" spans="1:44" x14ac:dyDescent="0.2">
      <c r="A21" s="34"/>
      <c r="B21" s="35"/>
      <c r="C21" s="35"/>
      <c r="D21" s="35"/>
      <c r="E21" s="35"/>
      <c r="F21" s="35"/>
      <c r="G21" s="35"/>
      <c r="H21" s="35"/>
      <c r="I21" s="29" t="s">
        <v>78</v>
      </c>
      <c r="J21" s="30"/>
      <c r="K21" s="36">
        <v>20</v>
      </c>
      <c r="L21" s="35"/>
      <c r="M21" s="35"/>
      <c r="N21" s="35"/>
      <c r="O21" s="35"/>
      <c r="P21" s="37"/>
      <c r="Q21" s="22"/>
      <c r="R21" s="22"/>
      <c r="S21" s="22"/>
      <c r="T21" s="23" t="s">
        <v>134</v>
      </c>
      <c r="U21" s="23" t="str">
        <f t="shared" si="0"/>
        <v/>
      </c>
      <c r="W21" s="3" t="s">
        <v>79</v>
      </c>
      <c r="X21" s="5">
        <f ca="1">X18-X20</f>
        <v>6.378792818487999</v>
      </c>
      <c r="Z21" s="3" t="s">
        <v>80</v>
      </c>
      <c r="AA21" s="5">
        <f ca="1">-AA18*SIN(X6)+AA19*COS(X6)</f>
        <v>11.946580297423004</v>
      </c>
      <c r="AC21" s="23">
        <v>180</v>
      </c>
      <c r="AD21" s="23">
        <f t="shared" ca="1" si="1"/>
        <v>8.3101959228515625</v>
      </c>
      <c r="AE21" s="23">
        <f t="array" aca="1" ref="AE21:AG21" ca="1">FLEXCOMPBIAXGR($B$4, $B$5, $B$6,OFFSET($A$45,0,0,COUNT($A$45:$A$70),2), OFFSET($W$45,0,0,COUNT($W$45:$W$72),3), AC21, AD21,$B$3  )</f>
        <v>-1.180315196956272E-3</v>
      </c>
      <c r="AF21" s="23">
        <f ca="1"/>
        <v>104.65681889227889</v>
      </c>
      <c r="AG21" s="23">
        <f ca="1"/>
        <v>-222.09945650332662</v>
      </c>
      <c r="AI21" s="23">
        <v>180</v>
      </c>
      <c r="AJ21" s="23">
        <f t="shared" ca="1" si="2"/>
        <v>8.3101959228515625</v>
      </c>
      <c r="AK21" s="23">
        <f t="array" aca="1" ref="AK21:AM21" ca="1">FLEXCOMPBIAXGR($B$4, $B$5, $B$6,OFFSET($A$45,0,0,COUNT($A$45:$A$70),2), OFFSET($W$45,0,0,COUNT($W$45:$W$72),3), AI21, AJ21,$B$3  )</f>
        <v>-1.180315196956272E-3</v>
      </c>
      <c r="AL21" s="23">
        <f ca="1"/>
        <v>104.65681889227889</v>
      </c>
      <c r="AM21" s="23">
        <f ca="1"/>
        <v>-222.09945650332662</v>
      </c>
      <c r="AO21" s="23">
        <f ca="1"/>
        <v>5.541840055483954</v>
      </c>
      <c r="AP21" s="23">
        <f ca="1"/>
        <v>61.042990613837702</v>
      </c>
      <c r="AQ21" s="23">
        <f ca="1"/>
        <v>-178.45958521919226</v>
      </c>
      <c r="AR21" s="23">
        <f t="shared" ca="1" si="3"/>
        <v>-124.02903904173557</v>
      </c>
    </row>
    <row r="22" spans="1:44" x14ac:dyDescent="0.2">
      <c r="A22" s="24"/>
      <c r="B22" s="13"/>
      <c r="C22" s="13"/>
      <c r="D22" s="13"/>
      <c r="E22" s="13"/>
      <c r="F22" s="13"/>
      <c r="G22" s="13"/>
      <c r="H22" s="13"/>
      <c r="I22" s="24"/>
      <c r="J22" s="13"/>
      <c r="K22" s="13"/>
      <c r="L22" s="13"/>
      <c r="M22" s="13"/>
      <c r="N22" s="13"/>
      <c r="O22" s="13"/>
      <c r="P22" s="14"/>
      <c r="Q22" s="22"/>
      <c r="R22" s="22"/>
      <c r="S22" s="22"/>
      <c r="T22" s="23" t="s">
        <v>135</v>
      </c>
      <c r="U22" s="23" t="str">
        <f t="shared" si="0"/>
        <v/>
      </c>
      <c r="Z22" s="3" t="s">
        <v>81</v>
      </c>
      <c r="AA22" s="19">
        <f ca="1">MAX($AA$6*AA17,AA10)</f>
        <v>8.0358412919467188</v>
      </c>
      <c r="AC22" s="23">
        <v>190</v>
      </c>
      <c r="AD22" s="23">
        <f t="shared" ca="1" si="1"/>
        <v>8.5078605744666653</v>
      </c>
      <c r="AE22" s="23">
        <f t="array" aca="1" ref="AE22:AG22" ca="1">FLEXCOMPBIAXGR($B$4, $B$5, $B$6,OFFSET($A$45,0,0,COUNT($A$45:$A$70),2), OFFSET($W$45,0,0,COUNT($W$45:$W$72),3), AC22, AD22,$B$3  )</f>
        <v>1.9099718795896337E-3</v>
      </c>
      <c r="AF22" s="23">
        <f ca="1"/>
        <v>94.903144794371244</v>
      </c>
      <c r="AG22" s="23">
        <f ca="1"/>
        <v>-213.78809362445847</v>
      </c>
      <c r="AI22" s="23">
        <v>190</v>
      </c>
      <c r="AJ22" s="23">
        <f t="shared" ca="1" si="2"/>
        <v>8.5078605744666653</v>
      </c>
      <c r="AK22" s="23">
        <f t="array" aca="1" ref="AK22:AM22" ca="1">FLEXCOMPBIAXGR($B$4, $B$5, $B$6,OFFSET($A$45,0,0,COUNT($A$45:$A$70),2), OFFSET($W$45,0,0,COUNT($W$45:$W$72),3), AI22, AJ22,$B$3  )</f>
        <v>1.9099718795896337E-3</v>
      </c>
      <c r="AL22" s="23">
        <f ca="1"/>
        <v>94.903144794371244</v>
      </c>
      <c r="AM22" s="23">
        <f ca="1"/>
        <v>-213.78809362445847</v>
      </c>
      <c r="AO22" s="23">
        <f ca="1"/>
        <v>-1.4597797959467691</v>
      </c>
      <c r="AP22" s="23">
        <f ca="1"/>
        <v>54.811594575330524</v>
      </c>
      <c r="AQ22" s="23">
        <f ca="1"/>
        <v>-185.36239251175567</v>
      </c>
      <c r="AR22" s="23">
        <f t="shared" ca="1" si="3"/>
        <v>-133.12274353377757</v>
      </c>
    </row>
    <row r="23" spans="1:44" x14ac:dyDescent="0.2">
      <c r="A23" s="24"/>
      <c r="B23" s="13"/>
      <c r="C23" s="13"/>
      <c r="D23" s="13"/>
      <c r="E23" s="13"/>
      <c r="F23" s="13"/>
      <c r="G23" s="13"/>
      <c r="H23" s="13"/>
      <c r="I23" s="24"/>
      <c r="J23" s="13"/>
      <c r="K23" s="13"/>
      <c r="L23" s="13"/>
      <c r="M23" s="13"/>
      <c r="N23" s="13"/>
      <c r="O23" s="13"/>
      <c r="P23" s="14"/>
      <c r="Q23" s="22"/>
      <c r="R23" s="22"/>
      <c r="S23" s="22"/>
      <c r="T23" s="23" t="s">
        <v>196</v>
      </c>
      <c r="U23" s="23" t="str">
        <f t="shared" si="0"/>
        <v/>
      </c>
      <c r="Z23" s="3" t="s">
        <v>82</v>
      </c>
      <c r="AA23" s="19">
        <f ca="1">$AA$6*AA20</f>
        <v>128.83640807415486</v>
      </c>
      <c r="AC23" s="23">
        <v>200</v>
      </c>
      <c r="AD23" s="23">
        <f t="shared" ca="1" si="1"/>
        <v>8.3773882998609466</v>
      </c>
      <c r="AE23" s="23">
        <f t="array" aca="1" ref="AE23:AG23" ca="1">FLEXCOMPBIAXGR($B$4, $B$5, $B$6,OFFSET($A$45,0,0,COUNT($A$45:$A$70),2), OFFSET($W$45,0,0,COUNT($W$45:$W$72),3), AC23, AD23,$B$3  )</f>
        <v>1.0378174693954634E-3</v>
      </c>
      <c r="AF23" s="23">
        <f ca="1"/>
        <v>82.962816599420179</v>
      </c>
      <c r="AG23" s="23">
        <f ca="1"/>
        <v>-204.84088250775432</v>
      </c>
      <c r="AI23" s="23">
        <v>200</v>
      </c>
      <c r="AJ23" s="23">
        <f t="shared" ca="1" si="2"/>
        <v>8.3773882998609466</v>
      </c>
      <c r="AK23" s="23">
        <f t="array" aca="1" ref="AK23:AM23" ca="1">FLEXCOMPBIAXGR($B$4, $B$5, $B$6,OFFSET($A$45,0,0,COUNT($A$45:$A$70),2), OFFSET($W$45,0,0,COUNT($W$45:$W$72),3), AI23, AJ23,$B$3  )</f>
        <v>1.0378174693954634E-3</v>
      </c>
      <c r="AL23" s="23">
        <f ca="1"/>
        <v>82.962816599420179</v>
      </c>
      <c r="AM23" s="23">
        <f ca="1"/>
        <v>-204.84088250775432</v>
      </c>
      <c r="AO23" s="23">
        <f ca="1"/>
        <v>-10.227093911995549</v>
      </c>
      <c r="AP23" s="23">
        <f ca="1"/>
        <v>41.263712353587771</v>
      </c>
      <c r="AQ23" s="23">
        <f ca="1"/>
        <v>-186.28568735188975</v>
      </c>
      <c r="AR23" s="23">
        <f t="shared" ca="1" si="3"/>
        <v>-140.69628143138814</v>
      </c>
    </row>
    <row r="24" spans="1:44" x14ac:dyDescent="0.2">
      <c r="A24" s="24"/>
      <c r="B24" s="13"/>
      <c r="C24" s="13"/>
      <c r="D24" s="13"/>
      <c r="E24" s="13"/>
      <c r="F24" s="13"/>
      <c r="G24" s="13"/>
      <c r="H24" s="13"/>
      <c r="I24" s="24"/>
      <c r="J24" s="13"/>
      <c r="K24" s="13"/>
      <c r="L24" s="13"/>
      <c r="M24" s="13"/>
      <c r="N24" s="13"/>
      <c r="O24" s="13"/>
      <c r="P24" s="14"/>
      <c r="Q24" s="22"/>
      <c r="R24" s="22"/>
      <c r="S24" s="22"/>
      <c r="T24" s="23" t="s">
        <v>199</v>
      </c>
      <c r="U24" s="23" t="str">
        <f t="shared" si="0"/>
        <v/>
      </c>
      <c r="Z24" s="3" t="s">
        <v>83</v>
      </c>
      <c r="AA24" s="19">
        <f ca="1">$AA$6*AA21</f>
        <v>9.577125517808776</v>
      </c>
      <c r="AC24" s="23">
        <v>210</v>
      </c>
      <c r="AD24" s="23">
        <f t="shared" ca="1" si="1"/>
        <v>7.6274023999113325</v>
      </c>
      <c r="AE24" s="23">
        <f t="array" aca="1" ref="AE24:AG24" ca="1">FLEXCOMPBIAXGR($B$4, $B$5, $B$6,OFFSET($A$45,0,0,COUNT($A$45:$A$70),2), OFFSET($W$45,0,0,COUNT($W$45:$W$72),3), AC24, AD24,$B$3  )</f>
        <v>5.3140220109995084E-3</v>
      </c>
      <c r="AF24" s="23">
        <f ca="1"/>
        <v>57.047544775898196</v>
      </c>
      <c r="AG24" s="23">
        <f ca="1"/>
        <v>-184.78824270456627</v>
      </c>
      <c r="AI24" s="23">
        <v>210</v>
      </c>
      <c r="AJ24" s="23">
        <f t="shared" ca="1" si="2"/>
        <v>7.6274023999113325</v>
      </c>
      <c r="AK24" s="23">
        <f t="array" aca="1" ref="AK24:AM24" ca="1">FLEXCOMPBIAXGR($B$4, $B$5, $B$6,OFFSET($A$45,0,0,COUNT($A$45:$A$70),2), OFFSET($W$45,0,0,COUNT($W$45:$W$72),3), AI24, AJ24,$B$3  )</f>
        <v>5.3140220109995084E-3</v>
      </c>
      <c r="AL24" s="23">
        <f ca="1"/>
        <v>57.047544775898196</v>
      </c>
      <c r="AM24" s="23">
        <f ca="1"/>
        <v>-184.78824270456627</v>
      </c>
      <c r="AO24" s="23">
        <f ca="1"/>
        <v>-13.734996141108478</v>
      </c>
      <c r="AP24" s="23">
        <f ca="1"/>
        <v>34.025409569177889</v>
      </c>
      <c r="AQ24" s="23">
        <f ca="1"/>
        <v>-183.17464501883376</v>
      </c>
      <c r="AR24" s="23">
        <f t="shared" ca="1" si="3"/>
        <v>-141.62119113091779</v>
      </c>
    </row>
    <row r="25" spans="1:44" x14ac:dyDescent="0.2">
      <c r="A25" s="24"/>
      <c r="B25" s="13"/>
      <c r="C25" s="13"/>
      <c r="D25" s="13"/>
      <c r="E25" s="13"/>
      <c r="F25" s="13"/>
      <c r="G25" s="13"/>
      <c r="H25" s="13"/>
      <c r="I25" s="24"/>
      <c r="J25" s="13"/>
      <c r="K25" s="13"/>
      <c r="L25" s="13"/>
      <c r="M25" s="13"/>
      <c r="N25" s="13"/>
      <c r="O25" s="13"/>
      <c r="P25" s="14"/>
      <c r="Q25" s="22"/>
      <c r="R25" s="22"/>
      <c r="S25" s="22"/>
      <c r="T25" s="23" t="s">
        <v>136</v>
      </c>
      <c r="U25" s="23" t="str">
        <f t="shared" si="0"/>
        <v/>
      </c>
      <c r="AC25" s="23">
        <v>220</v>
      </c>
      <c r="AD25" s="23">
        <f t="shared" ca="1" si="1"/>
        <v>6.1803941049158553</v>
      </c>
      <c r="AE25" s="23">
        <f t="array" aca="1" ref="AE25:AG25" ca="1">FLEXCOMPBIAXGR($B$4, $B$5, $B$6,OFFSET($A$45,0,0,COUNT($A$45:$A$70),2), OFFSET($W$45,0,0,COUNT($W$45:$W$72),3), AC25, AD25,$B$3  )</f>
        <v>-7.7060659151015898E-3</v>
      </c>
      <c r="AF25" s="23">
        <f ca="1"/>
        <v>16.111606854730272</v>
      </c>
      <c r="AG25" s="23">
        <f ca="1"/>
        <v>-155.30098817056233</v>
      </c>
      <c r="AI25" s="23">
        <v>220</v>
      </c>
      <c r="AJ25" s="23">
        <f t="shared" ca="1" si="2"/>
        <v>6.1803941049158553</v>
      </c>
      <c r="AK25" s="23">
        <f t="array" aca="1" ref="AK25:AM25" ca="1">FLEXCOMPBIAXGR($B$4, $B$5, $B$6,OFFSET($A$45,0,0,COUNT($A$45:$A$70),2), OFFSET($W$45,0,0,COUNT($W$45:$W$72),3), AI25, AJ25,$B$3  )</f>
        <v>-7.7060659151015898E-3</v>
      </c>
      <c r="AL25" s="23">
        <f ca="1"/>
        <v>16.111606854730272</v>
      </c>
      <c r="AM25" s="23">
        <f ca="1"/>
        <v>-155.30098817056233</v>
      </c>
      <c r="AO25" s="23">
        <f ca="1"/>
        <v>-19.922181342165899</v>
      </c>
      <c r="AP25" s="23">
        <f ca="1"/>
        <v>27.5245162668154</v>
      </c>
      <c r="AQ25" s="23">
        <f ca="1"/>
        <v>-178.76697889678877</v>
      </c>
      <c r="AR25" s="23">
        <f t="shared" ca="1" si="3"/>
        <v>-141.05448694900804</v>
      </c>
    </row>
    <row r="26" spans="1:44" x14ac:dyDescent="0.2">
      <c r="A26" s="24"/>
      <c r="B26" s="13"/>
      <c r="C26" s="13"/>
      <c r="D26" s="13"/>
      <c r="E26" s="13"/>
      <c r="F26" s="13"/>
      <c r="G26" s="13"/>
      <c r="H26" s="13"/>
      <c r="I26" s="24"/>
      <c r="J26" s="13"/>
      <c r="K26" s="13"/>
      <c r="L26" s="13"/>
      <c r="M26" s="13"/>
      <c r="N26" s="13"/>
      <c r="O26" s="13"/>
      <c r="P26" s="14"/>
      <c r="Q26" s="22"/>
      <c r="R26" s="22"/>
      <c r="S26" s="22"/>
      <c r="T26" s="23" t="s">
        <v>139</v>
      </c>
      <c r="U26" s="23" t="str">
        <f t="shared" si="0"/>
        <v/>
      </c>
      <c r="AC26" s="23">
        <v>230</v>
      </c>
      <c r="AD26" s="23">
        <f t="shared" ca="1" si="1"/>
        <v>4.2690792839597158</v>
      </c>
      <c r="AE26" s="23">
        <f t="array" aca="1" ref="AE26:AG26" ca="1">FLEXCOMPBIAXGR($B$4, $B$5, $B$6,OFFSET($A$45,0,0,COUNT($A$45:$A$70),2), OFFSET($W$45,0,0,COUNT($W$45:$W$72),3), AC26, AD26,$B$3  )</f>
        <v>6.1835219180466083E-3</v>
      </c>
      <c r="AF26" s="23">
        <f ca="1"/>
        <v>-67.551285884183585</v>
      </c>
      <c r="AG26" s="23">
        <f ca="1"/>
        <v>-77.592823542136514</v>
      </c>
      <c r="AI26" s="23">
        <v>230</v>
      </c>
      <c r="AJ26" s="23">
        <f t="shared" ca="1" si="2"/>
        <v>4.2690792839597158</v>
      </c>
      <c r="AK26" s="23">
        <f t="array" aca="1" ref="AK26:AM26" ca="1">FLEXCOMPBIAXGR($B$4, $B$5, $B$6,OFFSET($A$45,0,0,COUNT($A$45:$A$70),2), OFFSET($W$45,0,0,COUNT($W$45:$W$72),3), AI26, AJ26,$B$3  )</f>
        <v>6.1835219180466083E-3</v>
      </c>
      <c r="AL26" s="23">
        <f ca="1"/>
        <v>-67.551285884183585</v>
      </c>
      <c r="AM26" s="23">
        <f ca="1"/>
        <v>-77.592823542136514</v>
      </c>
      <c r="AO26" s="23">
        <f ca="1"/>
        <v>-27.017259749259285</v>
      </c>
      <c r="AP26" s="23">
        <f ca="1"/>
        <v>16.309769326413289</v>
      </c>
      <c r="AQ26" s="23">
        <f ca="1"/>
        <v>-168.16804966530324</v>
      </c>
      <c r="AR26" s="23">
        <f t="shared" ca="1" si="3"/>
        <v>-137.48291845182914</v>
      </c>
    </row>
    <row r="27" spans="1:44" x14ac:dyDescent="0.2">
      <c r="A27" s="24"/>
      <c r="B27" s="13"/>
      <c r="C27" s="13"/>
      <c r="D27" s="13"/>
      <c r="E27" s="13"/>
      <c r="F27" s="13"/>
      <c r="G27" s="13"/>
      <c r="H27" s="13"/>
      <c r="I27" s="24"/>
      <c r="J27" s="13"/>
      <c r="K27" s="13"/>
      <c r="L27" s="13"/>
      <c r="M27" s="13"/>
      <c r="N27" s="13"/>
      <c r="O27" s="13"/>
      <c r="P27" s="14"/>
      <c r="Q27" s="22"/>
      <c r="R27" s="22"/>
      <c r="S27" s="22"/>
      <c r="T27" s="23" t="s">
        <v>200</v>
      </c>
      <c r="U27" s="23" t="str">
        <f t="shared" si="0"/>
        <v/>
      </c>
      <c r="AC27" s="23">
        <v>240</v>
      </c>
      <c r="AD27" s="23">
        <f t="shared" ca="1" si="1"/>
        <v>6.0004982298889029</v>
      </c>
      <c r="AE27" s="23">
        <f t="array" aca="1" ref="AE27:AG27" ca="1">FLEXCOMPBIAXGR($B$4, $B$5, $B$6,OFFSET($A$45,0,0,COUNT($A$45:$A$70),2), OFFSET($W$45,0,0,COUNT($W$45:$W$72),3), AC27, AD27,$B$3  )</f>
        <v>-1.2171647455296863E-3</v>
      </c>
      <c r="AF27" s="23">
        <f ca="1"/>
        <v>-115.60679571160139</v>
      </c>
      <c r="AG27" s="23">
        <f ca="1"/>
        <v>4.2748133962691002</v>
      </c>
      <c r="AI27" s="23">
        <v>240</v>
      </c>
      <c r="AJ27" s="23">
        <f t="shared" ca="1" si="2"/>
        <v>6.0004982298889029</v>
      </c>
      <c r="AK27" s="23">
        <f t="array" aca="1" ref="AK27:AM27" ca="1">FLEXCOMPBIAXGR($B$4, $B$5, $B$6,OFFSET($A$45,0,0,COUNT($A$45:$A$70),2), OFFSET($W$45,0,0,COUNT($W$45:$W$72),3), AI27, AJ27,$B$3  )</f>
        <v>-1.2171647455296863E-3</v>
      </c>
      <c r="AL27" s="23">
        <f ca="1"/>
        <v>-115.60679571160139</v>
      </c>
      <c r="AM27" s="23">
        <f ca="1"/>
        <v>4.2748133962691002</v>
      </c>
      <c r="AO27" s="23">
        <f ca="1"/>
        <v>-34.557194890613232</v>
      </c>
      <c r="AP27" s="23">
        <f ca="1"/>
        <v>7.551310650873261</v>
      </c>
      <c r="AQ27" s="23">
        <f ca="1"/>
        <v>-151.8968675657211</v>
      </c>
      <c r="AR27" s="23">
        <f t="shared" ca="1" si="3"/>
        <v>-127.77089074175838</v>
      </c>
    </row>
    <row r="28" spans="1:44" x14ac:dyDescent="0.2">
      <c r="A28" s="24"/>
      <c r="B28" s="13"/>
      <c r="C28" s="13"/>
      <c r="D28" s="13"/>
      <c r="E28" s="13"/>
      <c r="F28" s="13"/>
      <c r="G28" s="13"/>
      <c r="H28" s="13"/>
      <c r="I28" s="24"/>
      <c r="J28" s="13"/>
      <c r="K28" s="13"/>
      <c r="L28" s="13"/>
      <c r="M28" s="13"/>
      <c r="N28" s="13"/>
      <c r="O28" s="13"/>
      <c r="P28" s="14"/>
      <c r="Q28" s="22"/>
      <c r="R28" s="22"/>
      <c r="S28" s="22"/>
      <c r="T28" s="23" t="s">
        <v>137</v>
      </c>
      <c r="U28" s="23" t="str">
        <f t="shared" si="0"/>
        <v/>
      </c>
      <c r="AC28" s="23">
        <v>250</v>
      </c>
      <c r="AD28" s="23">
        <f t="shared" ca="1" si="1"/>
        <v>8.5865299239199473</v>
      </c>
      <c r="AE28" s="23">
        <f t="array" aca="1" ref="AE28:AG28" ca="1">FLEXCOMPBIAXGR($B$4, $B$5, $B$6,OFFSET($A$45,0,0,COUNT($A$45:$A$70),2), OFFSET($W$45,0,0,COUNT($W$45:$W$72),3), AC28, AD28,$B$3  )</f>
        <v>-2.4507379464928647E-3</v>
      </c>
      <c r="AF28" s="23">
        <f ca="1"/>
        <v>-115.40655444875655</v>
      </c>
      <c r="AG28" s="23">
        <f ca="1"/>
        <v>38.098425542371601</v>
      </c>
      <c r="AI28" s="23">
        <v>250</v>
      </c>
      <c r="AJ28" s="23">
        <f t="shared" ca="1" si="2"/>
        <v>8.5865299239199473</v>
      </c>
      <c r="AK28" s="23">
        <f t="array" aca="1" ref="AK28:AM28" ca="1">FLEXCOMPBIAXGR($B$4, $B$5, $B$6,OFFSET($A$45,0,0,COUNT($A$45:$A$70),2), OFFSET($W$45,0,0,COUNT($W$45:$W$72),3), AI28, AJ28,$B$3  )</f>
        <v>-2.4507379464928647E-3</v>
      </c>
      <c r="AL28" s="23">
        <f ca="1"/>
        <v>-115.40655444875655</v>
      </c>
      <c r="AM28" s="23">
        <f ca="1"/>
        <v>38.098425542371601</v>
      </c>
      <c r="AO28" s="23">
        <f ca="1"/>
        <v>-42.942715813526419</v>
      </c>
      <c r="AP28" s="23">
        <f ca="1"/>
        <v>0.87526387138808992</v>
      </c>
      <c r="AQ28" s="23">
        <f ca="1"/>
        <v>-124.56171210497642</v>
      </c>
      <c r="AR28" s="23">
        <f t="shared" ca="1" si="3"/>
        <v>-107.43597508609918</v>
      </c>
    </row>
    <row r="29" spans="1:44" x14ac:dyDescent="0.2">
      <c r="A29" s="24"/>
      <c r="B29" s="13"/>
      <c r="C29" s="13"/>
      <c r="D29" s="13"/>
      <c r="E29" s="13"/>
      <c r="F29" s="13"/>
      <c r="G29" s="13"/>
      <c r="H29" s="13"/>
      <c r="I29" s="24"/>
      <c r="J29" s="13"/>
      <c r="K29" s="13"/>
      <c r="L29" s="13"/>
      <c r="M29" s="13"/>
      <c r="N29" s="13"/>
      <c r="O29" s="13"/>
      <c r="P29" s="14"/>
      <c r="Q29" s="22"/>
      <c r="R29" s="22"/>
      <c r="S29" s="22"/>
      <c r="T29" s="23" t="s">
        <v>195</v>
      </c>
      <c r="U29" s="23" t="str">
        <f t="shared" si="0"/>
        <v/>
      </c>
      <c r="AC29" s="23">
        <v>260</v>
      </c>
      <c r="AD29" s="23">
        <f t="shared" ca="1" si="1"/>
        <v>10.355384868095342</v>
      </c>
      <c r="AE29" s="23">
        <f t="array" aca="1" ref="AE29:AG29" ca="1">FLEXCOMPBIAXGR($B$4, $B$5, $B$6,OFFSET($A$45,0,0,COUNT($A$45:$A$70),2), OFFSET($W$45,0,0,COUNT($W$45:$W$72),3), AC29, AD29,$B$3  )</f>
        <v>-4.4966454899153518E-4</v>
      </c>
      <c r="AF29" s="23">
        <f ca="1"/>
        <v>-121.02938438707052</v>
      </c>
      <c r="AG29" s="23">
        <f ca="1"/>
        <v>70.632681945884485</v>
      </c>
      <c r="AI29" s="23">
        <v>260</v>
      </c>
      <c r="AJ29" s="23">
        <f t="shared" ca="1" si="2"/>
        <v>10.355384868095342</v>
      </c>
      <c r="AK29" s="23">
        <f t="array" aca="1" ref="AK29:AM29" ca="1">FLEXCOMPBIAXGR($B$4, $B$5, $B$6,OFFSET($A$45,0,0,COUNT($A$45:$A$70),2), OFFSET($W$45,0,0,COUNT($W$45:$W$72),3), AI29, AJ29,$B$3  )</f>
        <v>-4.4966454899153518E-4</v>
      </c>
      <c r="AL29" s="23">
        <f ca="1"/>
        <v>-121.02938438707052</v>
      </c>
      <c r="AM29" s="23">
        <f ca="1"/>
        <v>70.632681945884485</v>
      </c>
      <c r="AO29" s="23">
        <f ca="1"/>
        <v>-47.93044956798218</v>
      </c>
      <c r="AP29" s="23">
        <f ca="1"/>
        <v>-1.1154555340410108</v>
      </c>
      <c r="AQ29" s="23">
        <f ca="1"/>
        <v>-99.882285260662897</v>
      </c>
      <c r="AR29" s="23">
        <f t="shared" ca="1" si="3"/>
        <v>-87.058324190798587</v>
      </c>
    </row>
    <row r="30" spans="1:44" x14ac:dyDescent="0.2">
      <c r="A30" s="24"/>
      <c r="B30" s="13"/>
      <c r="C30" s="13"/>
      <c r="D30" s="13"/>
      <c r="E30" s="13"/>
      <c r="F30" s="13"/>
      <c r="G30" s="13"/>
      <c r="H30" s="13"/>
      <c r="I30" s="24"/>
      <c r="J30" s="13"/>
      <c r="K30" s="13"/>
      <c r="L30" s="13"/>
      <c r="M30" s="13"/>
      <c r="N30" s="13"/>
      <c r="O30" s="13"/>
      <c r="P30" s="14"/>
      <c r="Q30" s="22"/>
      <c r="R30" s="22"/>
      <c r="S30" s="22"/>
      <c r="T30" s="23" t="s">
        <v>197</v>
      </c>
      <c r="U30" s="23" t="str">
        <f t="shared" si="0"/>
        <v/>
      </c>
      <c r="AC30" s="23">
        <v>270</v>
      </c>
      <c r="AD30" s="23">
        <f t="shared" ca="1" si="1"/>
        <v>11.646759033203123</v>
      </c>
      <c r="AE30" s="23">
        <f t="array" aca="1" ref="AE30:AG30" ca="1">FLEXCOMPBIAXGR($B$4, $B$5, $B$6,OFFSET($A$45,0,0,COUNT($A$45:$A$70),2), OFFSET($W$45,0,0,COUNT($W$45:$W$72),3), AC30, AD30,$B$3  )</f>
        <v>1.0799938698653477E-3</v>
      </c>
      <c r="AF30" s="23">
        <f ca="1"/>
        <v>-126.35416660926529</v>
      </c>
      <c r="AG30" s="23">
        <f ca="1"/>
        <v>95.86942747997395</v>
      </c>
      <c r="AI30" s="23">
        <v>270</v>
      </c>
      <c r="AJ30" s="23">
        <f t="shared" ca="1" si="2"/>
        <v>11.646759033203123</v>
      </c>
      <c r="AK30" s="23">
        <f t="array" aca="1" ref="AK30:AM30" ca="1">FLEXCOMPBIAXGR($B$4, $B$5, $B$6,OFFSET($A$45,0,0,COUNT($A$45:$A$70),2), OFFSET($W$45,0,0,COUNT($W$45:$W$72),3), AI30, AJ30,$B$3  )</f>
        <v>1.0799938698653477E-3</v>
      </c>
      <c r="AL30" s="23">
        <f ca="1"/>
        <v>-126.35416660926529</v>
      </c>
      <c r="AM30" s="23">
        <f ca="1"/>
        <v>95.86942747997395</v>
      </c>
      <c r="AO30" s="27">
        <f ca="1"/>
        <v>-49.322167691842381</v>
      </c>
      <c r="AP30" s="27">
        <f ca="1"/>
        <v>-2.0419560315302633E-14</v>
      </c>
      <c r="AQ30" s="27">
        <f ca="1"/>
        <v>-8.7223633433175784E-15</v>
      </c>
      <c r="AR30" s="27">
        <f t="shared" ca="1" si="3"/>
        <v>-1.7763568394002508E-14</v>
      </c>
    </row>
    <row r="31" spans="1:44" x14ac:dyDescent="0.2">
      <c r="A31" s="24"/>
      <c r="B31" s="13"/>
      <c r="C31" s="13"/>
      <c r="D31" s="13"/>
      <c r="E31" s="13"/>
      <c r="F31" s="13"/>
      <c r="G31" s="13"/>
      <c r="H31" s="13"/>
      <c r="I31" s="24"/>
      <c r="J31" s="13"/>
      <c r="K31" s="13"/>
      <c r="L31" s="13"/>
      <c r="M31" s="13"/>
      <c r="N31" s="13"/>
      <c r="O31" s="13"/>
      <c r="P31" s="14"/>
      <c r="Q31" s="22"/>
      <c r="R31" s="22"/>
      <c r="S31" s="22"/>
      <c r="T31" s="23" t="s">
        <v>138</v>
      </c>
      <c r="U31" s="23" t="str">
        <f t="shared" si="0"/>
        <v/>
      </c>
      <c r="AC31" s="23">
        <v>280</v>
      </c>
      <c r="AD31" s="23">
        <f t="shared" ca="1" si="1"/>
        <v>12.275602016912508</v>
      </c>
      <c r="AE31" s="23">
        <f t="array" aca="1" ref="AE31:AG31" ca="1">FLEXCOMPBIAXGR($B$4, $B$5, $B$6,OFFSET($A$45,0,0,COUNT($A$45:$A$70),2), OFFSET($W$45,0,0,COUNT($W$45:$W$72),3), AC31, AD31,$B$3  )</f>
        <v>2.3306563147897918E-3</v>
      </c>
      <c r="AF31" s="23">
        <f ca="1"/>
        <v>-130.3169907475999</v>
      </c>
      <c r="AG31" s="23">
        <f ca="1"/>
        <v>112.28632536575448</v>
      </c>
      <c r="AI31" s="23">
        <v>280</v>
      </c>
      <c r="AJ31" s="23">
        <f t="shared" ca="1" si="2"/>
        <v>12.275602016912508</v>
      </c>
      <c r="AK31" s="23">
        <f t="array" aca="1" ref="AK31:AM31" ca="1">FLEXCOMPBIAXGR($B$4, $B$5, $B$6,OFFSET($A$45,0,0,COUNT($A$45:$A$70),2), OFFSET($W$45,0,0,COUNT($W$45:$W$72),3), AI31, AJ31,$B$3  )</f>
        <v>2.3306563147897918E-3</v>
      </c>
      <c r="AL31" s="23">
        <f ca="1"/>
        <v>-130.3169907475999</v>
      </c>
      <c r="AM31" s="23">
        <f ca="1"/>
        <v>112.28632536575448</v>
      </c>
    </row>
    <row r="32" spans="1:44" x14ac:dyDescent="0.2">
      <c r="A32" s="24"/>
      <c r="B32" s="13"/>
      <c r="C32" s="13"/>
      <c r="D32" s="13"/>
      <c r="E32" s="13"/>
      <c r="F32" s="13"/>
      <c r="G32" s="13"/>
      <c r="H32" s="13"/>
      <c r="I32" s="24"/>
      <c r="J32" s="13"/>
      <c r="K32" s="13"/>
      <c r="L32" s="13"/>
      <c r="M32" s="13"/>
      <c r="N32" s="13"/>
      <c r="O32" s="13"/>
      <c r="P32" s="14"/>
      <c r="Q32" s="22"/>
      <c r="R32" s="22"/>
      <c r="S32" s="22"/>
      <c r="T32" s="23" t="s">
        <v>190</v>
      </c>
      <c r="U32" s="23" t="str">
        <f t="shared" si="0"/>
        <v/>
      </c>
      <c r="AC32" s="23">
        <v>290</v>
      </c>
      <c r="AD32" s="23">
        <f t="shared" ca="1" si="1"/>
        <v>12.280879221531531</v>
      </c>
      <c r="AE32" s="23">
        <f t="array" aca="1" ref="AE32:AG32" ca="1">FLEXCOMPBIAXGR($B$4, $B$5, $B$6,OFFSET($A$45,0,0,COUNT($A$45:$A$70),2), OFFSET($W$45,0,0,COUNT($W$45:$W$72),3), AC32, AD32,$B$3  )</f>
        <v>-1.5508491066462682E-3</v>
      </c>
      <c r="AF32" s="23">
        <f ca="1"/>
        <v>-133.5626357180515</v>
      </c>
      <c r="AG32" s="23">
        <f ca="1"/>
        <v>124.44897454537465</v>
      </c>
      <c r="AI32" s="23">
        <v>290</v>
      </c>
      <c r="AJ32" s="23">
        <f t="shared" ca="1" si="2"/>
        <v>12.280879221531531</v>
      </c>
      <c r="AK32" s="23">
        <f t="array" aca="1" ref="AK32:AM32" ca="1">FLEXCOMPBIAXGR($B$4, $B$5, $B$6,OFFSET($A$45,0,0,COUNT($A$45:$A$70),2), OFFSET($W$45,0,0,COUNT($W$45:$W$72),3), AI32, AJ32,$B$3  )</f>
        <v>-1.5508491066462682E-3</v>
      </c>
      <c r="AL32" s="23">
        <f ca="1"/>
        <v>-133.5626357180515</v>
      </c>
      <c r="AM32" s="23">
        <f ca="1"/>
        <v>124.44897454537465</v>
      </c>
    </row>
    <row r="33" spans="1:45" x14ac:dyDescent="0.2">
      <c r="A33" s="24"/>
      <c r="B33" s="13"/>
      <c r="C33" s="13"/>
      <c r="D33" s="13"/>
      <c r="E33" s="13"/>
      <c r="F33" s="13"/>
      <c r="G33" s="13"/>
      <c r="H33" s="13"/>
      <c r="I33" s="24"/>
      <c r="J33" s="13"/>
      <c r="K33" s="13"/>
      <c r="L33" s="13"/>
      <c r="M33" s="13"/>
      <c r="N33" s="13"/>
      <c r="O33" s="13"/>
      <c r="P33" s="14"/>
      <c r="Q33" s="22"/>
      <c r="R33" s="22"/>
      <c r="S33" s="22"/>
      <c r="T33" s="23" t="s">
        <v>207</v>
      </c>
      <c r="U33" s="23" t="str">
        <f t="shared" si="0"/>
        <v/>
      </c>
      <c r="AC33" s="23">
        <v>300</v>
      </c>
      <c r="AD33" s="23">
        <f t="shared" ca="1" si="1"/>
        <v>11.824023956949826</v>
      </c>
      <c r="AE33" s="23">
        <f t="array" aca="1" ref="AE33:AG33" ca="1">FLEXCOMPBIAXGR($B$4, $B$5, $B$6,OFFSET($A$45,0,0,COUNT($A$45:$A$70),2), OFFSET($W$45,0,0,COUNT($W$45:$W$72),3), AC33, AD33,$B$3  )</f>
        <v>-3.5754476002303193E-3</v>
      </c>
      <c r="AF33" s="23">
        <f ca="1"/>
        <v>-136.82974690321313</v>
      </c>
      <c r="AG33" s="23">
        <f ca="1"/>
        <v>137.31611059882928</v>
      </c>
      <c r="AI33" s="23">
        <v>300</v>
      </c>
      <c r="AJ33" s="23">
        <f t="shared" ca="1" si="2"/>
        <v>11.824023956949826</v>
      </c>
      <c r="AK33" s="23">
        <f t="array" aca="1" ref="AK33:AM33" ca="1">FLEXCOMPBIAXGR($B$4, $B$5, $B$6,OFFSET($A$45,0,0,COUNT($A$45:$A$70),2), OFFSET($W$45,0,0,COUNT($W$45:$W$72),3), AI33, AJ33,$B$3  )</f>
        <v>-3.5754476002303193E-3</v>
      </c>
      <c r="AL33" s="23">
        <f ca="1"/>
        <v>-136.82974690321313</v>
      </c>
      <c r="AM33" s="23">
        <f ca="1"/>
        <v>137.31611059882928</v>
      </c>
    </row>
    <row r="34" spans="1:45" x14ac:dyDescent="0.2">
      <c r="A34" s="24"/>
      <c r="B34" s="13"/>
      <c r="C34" s="13"/>
      <c r="D34" s="13"/>
      <c r="E34" s="13"/>
      <c r="F34" s="13"/>
      <c r="G34" s="13"/>
      <c r="H34" s="13"/>
      <c r="I34" s="24"/>
      <c r="J34" s="13"/>
      <c r="K34" s="13"/>
      <c r="L34" s="13"/>
      <c r="M34" s="13"/>
      <c r="N34" s="13"/>
      <c r="O34" s="13"/>
      <c r="P34" s="14"/>
      <c r="Q34" s="22"/>
      <c r="R34" s="22"/>
      <c r="S34" s="22"/>
      <c r="T34" s="23" t="s">
        <v>193</v>
      </c>
      <c r="U34" s="23" t="str">
        <f t="shared" si="0"/>
        <v/>
      </c>
      <c r="AC34" s="23">
        <v>310</v>
      </c>
      <c r="AD34" s="23">
        <f t="shared" ca="1" si="1"/>
        <v>10.912847037052302</v>
      </c>
      <c r="AE34" s="23">
        <f t="array" aca="1" ref="AE34:AG34" ca="1">FLEXCOMPBIAXGR($B$4, $B$5, $B$6,OFFSET($A$45,0,0,COUNT($A$45:$A$70),2), OFFSET($W$45,0,0,COUNT($W$45:$W$72),3), AC34, AD34,$B$3  )</f>
        <v>4.6552744550947267E-3</v>
      </c>
      <c r="AF34" s="23">
        <f ca="1"/>
        <v>-140.12984083083629</v>
      </c>
      <c r="AG34" s="23">
        <f ca="1"/>
        <v>152.61206777871064</v>
      </c>
      <c r="AI34" s="23">
        <v>310</v>
      </c>
      <c r="AJ34" s="23">
        <f t="shared" ca="1" si="2"/>
        <v>10.912847037052302</v>
      </c>
      <c r="AK34" s="23">
        <f t="array" aca="1" ref="AK34:AM34" ca="1">FLEXCOMPBIAXGR($B$4, $B$5, $B$6,OFFSET($A$45,0,0,COUNT($A$45:$A$70),2), OFFSET($W$45,0,0,COUNT($W$45:$W$72),3), AI34, AJ34,$B$3  )</f>
        <v>4.6552744550947267E-3</v>
      </c>
      <c r="AL34" s="23">
        <f ca="1"/>
        <v>-140.12984083083629</v>
      </c>
      <c r="AM34" s="23">
        <f ca="1"/>
        <v>152.61206777871064</v>
      </c>
    </row>
    <row r="35" spans="1:45" x14ac:dyDescent="0.2">
      <c r="A35" s="24"/>
      <c r="B35" s="13"/>
      <c r="C35" s="13"/>
      <c r="D35" s="13"/>
      <c r="E35" s="13"/>
      <c r="F35" s="13"/>
      <c r="G35" s="13"/>
      <c r="H35" s="13"/>
      <c r="I35" s="24"/>
      <c r="J35" s="13"/>
      <c r="K35" s="13"/>
      <c r="L35" s="13"/>
      <c r="M35" s="13"/>
      <c r="N35" s="13"/>
      <c r="O35" s="13"/>
      <c r="P35" s="14"/>
      <c r="Q35" s="22"/>
      <c r="R35" s="22"/>
      <c r="S35" s="22"/>
      <c r="T35" s="23" t="s">
        <v>38</v>
      </c>
      <c r="U35" s="23" t="str">
        <f t="shared" si="0"/>
        <v/>
      </c>
      <c r="AC35" s="23">
        <v>320</v>
      </c>
      <c r="AD35" s="23">
        <f t="shared" ca="1" si="1"/>
        <v>9.557773850359478</v>
      </c>
      <c r="AE35" s="23">
        <f t="array" aca="1" ref="AE35:AG35" ca="1">FLEXCOMPBIAXGR($B$4, $B$5, $B$6,OFFSET($A$45,0,0,COUNT($A$45:$A$70),2), OFFSET($W$45,0,0,COUNT($W$45:$W$72),3), AC35, AD35,$B$3  )</f>
        <v>2.2452603998441845E-3</v>
      </c>
      <c r="AF35" s="23">
        <f ca="1"/>
        <v>-142.84916158005262</v>
      </c>
      <c r="AG35" s="23">
        <f ca="1"/>
        <v>173.79995194316149</v>
      </c>
      <c r="AI35" s="23">
        <v>320</v>
      </c>
      <c r="AJ35" s="23">
        <f t="shared" ca="1" si="2"/>
        <v>9.557773850359478</v>
      </c>
      <c r="AK35" s="23">
        <f t="array" aca="1" ref="AK35:AM35" ca="1">FLEXCOMPBIAXGR($B$4, $B$5, $B$6,OFFSET($A$45,0,0,COUNT($A$45:$A$70),2), OFFSET($W$45,0,0,COUNT($W$45:$W$72),3), AI35, AJ35,$B$3  )</f>
        <v>2.2452603998441845E-3</v>
      </c>
      <c r="AL35" s="23">
        <f ca="1"/>
        <v>-142.84916158005262</v>
      </c>
      <c r="AM35" s="23">
        <f ca="1"/>
        <v>173.79995194316149</v>
      </c>
    </row>
    <row r="36" spans="1:45" x14ac:dyDescent="0.2">
      <c r="A36" s="24"/>
      <c r="B36" s="13"/>
      <c r="C36" s="13"/>
      <c r="D36" s="13"/>
      <c r="E36" s="13"/>
      <c r="F36" s="13"/>
      <c r="G36" s="13"/>
      <c r="H36" s="13"/>
      <c r="I36" s="24"/>
      <c r="J36" s="13"/>
      <c r="K36" s="13"/>
      <c r="L36" s="13"/>
      <c r="M36" s="13"/>
      <c r="N36" s="13"/>
      <c r="O36" s="13"/>
      <c r="P36" s="14"/>
      <c r="Q36" s="22"/>
      <c r="R36" s="22"/>
      <c r="S36" s="22"/>
      <c r="T36" s="23" t="s">
        <v>193</v>
      </c>
      <c r="U36" s="23" t="str">
        <f t="shared" si="0"/>
        <v/>
      </c>
      <c r="AC36" s="23">
        <v>330</v>
      </c>
      <c r="AD36" s="23">
        <f t="shared" ca="1" si="1"/>
        <v>7.8467683863644089</v>
      </c>
      <c r="AE36" s="23">
        <f t="array" aca="1" ref="AE36:AG36" ca="1">FLEXCOMPBIAXGR($B$4, $B$5, $B$6,OFFSET($A$45,0,0,COUNT($A$45:$A$70),2), OFFSET($W$45,0,0,COUNT($W$45:$W$72),3), AC36, AD36,$B$3  )</f>
        <v>5.6797802845629519E-3</v>
      </c>
      <c r="AF36" s="23">
        <f ca="1"/>
        <v>-130.28810438970891</v>
      </c>
      <c r="AG36" s="23">
        <f ca="1"/>
        <v>188.79319526687945</v>
      </c>
      <c r="AI36" s="23">
        <v>330</v>
      </c>
      <c r="AJ36" s="23">
        <f t="shared" ca="1" si="2"/>
        <v>7.8467683863644089</v>
      </c>
      <c r="AK36" s="23">
        <f t="array" aca="1" ref="AK36:AM36" ca="1">FLEXCOMPBIAXGR($B$4, $B$5, $B$6,OFFSET($A$45,0,0,COUNT($A$45:$A$70),2), OFFSET($W$45,0,0,COUNT($W$45:$W$72),3), AI36, AJ36,$B$3  )</f>
        <v>5.6797802845629519E-3</v>
      </c>
      <c r="AL36" s="23">
        <f ca="1"/>
        <v>-130.28810438970891</v>
      </c>
      <c r="AM36" s="23">
        <f ca="1"/>
        <v>188.79319526687945</v>
      </c>
    </row>
    <row r="37" spans="1:45" x14ac:dyDescent="0.2">
      <c r="A37" s="24"/>
      <c r="B37" s="13"/>
      <c r="C37" s="13"/>
      <c r="D37" s="13"/>
      <c r="E37" s="13"/>
      <c r="F37" s="13"/>
      <c r="G37" s="13"/>
      <c r="H37" s="13"/>
      <c r="I37" s="24"/>
      <c r="J37" s="13"/>
      <c r="K37" s="13"/>
      <c r="L37" s="13"/>
      <c r="M37" s="13"/>
      <c r="N37" s="13"/>
      <c r="O37" s="13"/>
      <c r="P37" s="14"/>
      <c r="Q37" s="22"/>
      <c r="R37" s="22"/>
      <c r="S37" s="22"/>
      <c r="T37" s="23" t="s">
        <v>194</v>
      </c>
      <c r="U37" s="23" t="str">
        <f t="shared" si="0"/>
        <v/>
      </c>
      <c r="AC37" s="23">
        <v>340</v>
      </c>
      <c r="AD37" s="23">
        <f t="shared" ca="1" si="1"/>
        <v>5.8667537783831758</v>
      </c>
      <c r="AE37" s="23">
        <f t="array" aca="1" ref="AE37:AG37" ca="1">FLEXCOMPBIAXGR($B$4, $B$5, $B$6,OFFSET($A$45,0,0,COUNT($A$45:$A$70),2), OFFSET($W$45,0,0,COUNT($W$45:$W$72),3), AC37, AD37,$B$3  )</f>
        <v>4.5390843864314689E-3</v>
      </c>
      <c r="AF37" s="23">
        <f ca="1"/>
        <v>-113.02040140025059</v>
      </c>
      <c r="AG37" s="23">
        <f ca="1"/>
        <v>195.90426617947952</v>
      </c>
      <c r="AI37" s="23">
        <v>340</v>
      </c>
      <c r="AJ37" s="23">
        <f t="shared" ca="1" si="2"/>
        <v>5.8667537783831758</v>
      </c>
      <c r="AK37" s="23">
        <f t="array" aca="1" ref="AK37:AM37" ca="1">FLEXCOMPBIAXGR($B$4, $B$5, $B$6,OFFSET($A$45,0,0,COUNT($A$45:$A$70),2), OFFSET($W$45,0,0,COUNT($W$45:$W$72),3), AI37, AJ37,$B$3  )</f>
        <v>4.5390843864314689E-3</v>
      </c>
      <c r="AL37" s="23">
        <f ca="1"/>
        <v>-113.02040140025059</v>
      </c>
      <c r="AM37" s="23">
        <f ca="1"/>
        <v>195.90426617947952</v>
      </c>
    </row>
    <row r="38" spans="1:45" x14ac:dyDescent="0.2">
      <c r="A38" s="24"/>
      <c r="B38" s="13"/>
      <c r="C38" s="13"/>
      <c r="D38" s="13"/>
      <c r="E38" s="13"/>
      <c r="F38" s="13"/>
      <c r="G38" s="13"/>
      <c r="H38" s="13"/>
      <c r="I38" s="24"/>
      <c r="J38" s="13"/>
      <c r="K38" s="13"/>
      <c r="L38" s="13"/>
      <c r="M38" s="13"/>
      <c r="N38" s="13"/>
      <c r="O38" s="13"/>
      <c r="P38" s="14"/>
      <c r="Q38" s="22"/>
      <c r="R38" s="22"/>
      <c r="S38" s="22"/>
      <c r="T38" s="23" t="s">
        <v>193</v>
      </c>
      <c r="U38" s="23" t="str">
        <f t="shared" si="0"/>
        <v/>
      </c>
      <c r="AC38" s="23">
        <v>350</v>
      </c>
      <c r="AD38" s="23">
        <f t="shared" ca="1" si="1"/>
        <v>5.5735708330213134</v>
      </c>
      <c r="AE38" s="23">
        <f t="array" aca="1" ref="AE38:AG38" ca="1">FLEXCOMPBIAXGR($B$4, $B$5, $B$6,OFFSET($A$45,0,0,COUNT($A$45:$A$70),2), OFFSET($W$45,0,0,COUNT($W$45:$W$72),3), AC38, AD38,$B$3  )</f>
        <v>2.471383845850994E-3</v>
      </c>
      <c r="AF38" s="23">
        <f ca="1"/>
        <v>-92.643721246686852</v>
      </c>
      <c r="AG38" s="23">
        <f ca="1"/>
        <v>201.20797644762382</v>
      </c>
      <c r="AI38" s="23">
        <v>350</v>
      </c>
      <c r="AJ38" s="23">
        <f t="shared" ca="1" si="2"/>
        <v>5.5735708330213134</v>
      </c>
      <c r="AK38" s="23">
        <f t="array" aca="1" ref="AK38:AM38" ca="1">FLEXCOMPBIAXGR($B$4, $B$5, $B$6,OFFSET($A$45,0,0,COUNT($A$45:$A$70),2), OFFSET($W$45,0,0,COUNT($W$45:$W$72),3), AI38, AJ38,$B$3  )</f>
        <v>2.471383845850994E-3</v>
      </c>
      <c r="AL38" s="23">
        <f ca="1"/>
        <v>-92.643721246686852</v>
      </c>
      <c r="AM38" s="23">
        <f ca="1"/>
        <v>201.20797644762382</v>
      </c>
    </row>
    <row r="39" spans="1:45" x14ac:dyDescent="0.2">
      <c r="A39" s="24"/>
      <c r="B39" s="13"/>
      <c r="C39" s="13"/>
      <c r="D39" s="13"/>
      <c r="E39" s="13"/>
      <c r="F39" s="13"/>
      <c r="G39" s="13"/>
      <c r="H39" s="13"/>
      <c r="I39" s="24"/>
      <c r="J39" s="13"/>
      <c r="K39" s="13"/>
      <c r="L39" s="13"/>
      <c r="M39" s="13"/>
      <c r="N39" s="13"/>
      <c r="O39" s="13"/>
      <c r="P39" s="14"/>
      <c r="Q39" s="22"/>
      <c r="R39" s="22"/>
      <c r="S39" s="22"/>
      <c r="T39" s="23" t="s">
        <v>192</v>
      </c>
      <c r="U39" s="23" t="str">
        <f t="shared" si="0"/>
        <v/>
      </c>
      <c r="AC39" s="27">
        <v>360</v>
      </c>
      <c r="AD39" s="27">
        <f t="shared" ca="1" si="1"/>
        <v>7.1632232666015625</v>
      </c>
      <c r="AE39" s="27">
        <f t="array" aca="1" ref="AE39:AG39" ca="1">FLEXCOMPBIAXGR($B$4, $B$5, $B$6,OFFSET($A$45,0,0,COUNT($A$45:$A$70),2), OFFSET($W$45,0,0,COUNT($W$45:$W$72),3), AC39, AD39,$B$3  )</f>
        <v>8.9616605562348184E-4</v>
      </c>
      <c r="AF39" s="27">
        <f ca="1"/>
        <v>-69.195143209887306</v>
      </c>
      <c r="AG39" s="27">
        <f ca="1"/>
        <v>203.94895158463837</v>
      </c>
      <c r="AI39" s="27">
        <v>360</v>
      </c>
      <c r="AJ39" s="27">
        <f t="shared" ca="1" si="2"/>
        <v>7.1632232666015625</v>
      </c>
      <c r="AK39" s="27">
        <f t="array" aca="1" ref="AK39:AM39" ca="1">FLEXCOMPBIAXGR($B$4, $B$5, $B$6,OFFSET($A$45,0,0,COUNT($A$45:$A$70),2), OFFSET($W$45,0,0,COUNT($W$45:$W$72),3), AI39, AJ39,$B$3  )</f>
        <v>8.9616605562348184E-4</v>
      </c>
      <c r="AL39" s="27">
        <f ca="1"/>
        <v>-69.195143209887306</v>
      </c>
      <c r="AM39" s="27">
        <f ca="1"/>
        <v>203.94895158463837</v>
      </c>
    </row>
    <row r="40" spans="1:45" x14ac:dyDescent="0.2">
      <c r="A40" s="24"/>
      <c r="B40" s="13"/>
      <c r="C40" s="13"/>
      <c r="D40" s="13"/>
      <c r="E40" s="13"/>
      <c r="F40" s="13"/>
      <c r="G40" s="13"/>
      <c r="H40" s="13"/>
      <c r="I40" s="24"/>
      <c r="J40" s="13"/>
      <c r="K40" s="13"/>
      <c r="L40" s="13"/>
      <c r="M40" s="13"/>
      <c r="N40" s="13"/>
      <c r="O40" s="13"/>
      <c r="P40" s="14"/>
      <c r="Q40" s="22"/>
      <c r="R40" s="22"/>
      <c r="S40" s="22"/>
      <c r="T40" s="23" t="s">
        <v>23</v>
      </c>
      <c r="U40" s="23" t="str">
        <f t="shared" si="0"/>
        <v/>
      </c>
    </row>
    <row r="41" spans="1:45" x14ac:dyDescent="0.2">
      <c r="A41" s="24"/>
      <c r="B41" s="13"/>
      <c r="C41" s="13"/>
      <c r="D41" s="13"/>
      <c r="E41" s="13"/>
      <c r="F41" s="13"/>
      <c r="G41" s="13"/>
      <c r="H41" s="13"/>
      <c r="I41" s="24"/>
      <c r="J41" s="13"/>
      <c r="K41" s="13"/>
      <c r="L41" s="13"/>
      <c r="M41" s="13"/>
      <c r="N41" s="13"/>
      <c r="O41" s="13"/>
      <c r="P41" s="14"/>
      <c r="Q41" s="22"/>
      <c r="R41" s="22"/>
      <c r="S41" s="22"/>
      <c r="T41" s="23" t="s">
        <v>194</v>
      </c>
      <c r="U41" s="23" t="str">
        <f t="shared" si="0"/>
        <v/>
      </c>
      <c r="AC41" s="7">
        <f ca="1">XCOMPRESSGR($B$4,$B$5,$B$6,OFFSET($A$45,0,0,COUNT($A$45:$A$70),2), OFFSET($W$45,0,0,COUNT($W$45:$W$72),3),B7,$AD$1,$B$3)</f>
        <v>9.8418455531366487</v>
      </c>
      <c r="AD41" s="7">
        <f t="array" aca="1" ref="AD41:AF41" ca="1">FLEXCOMPBIAXGR($B$4, $B$5, $B$6,OFFSET($A$45,0,0,COUNT($A$45:$A$70),2), OFFSET($W$45,0,0,COUNT($W$45:$W$72),3), B7, AC41,$B$3  )</f>
        <v>3.2207181734982271E-3</v>
      </c>
      <c r="AE41" s="7">
        <f ca="1"/>
        <v>-6.348836055815978</v>
      </c>
      <c r="AF41" s="7">
        <f ca="1"/>
        <v>152.211634969709</v>
      </c>
      <c r="AG41" s="7">
        <f t="shared" ref="AG41:AG42" ca="1" si="5">AF41*COS($X$6)+AE41*SIN($X$6)</f>
        <v>128.64472460742383</v>
      </c>
      <c r="AI41" s="7">
        <f ca="1">XCOMPRESSGR($B$4,$B$5,$B$6,OFFSET($A$45,0,0,COUNT($A$45:$A$70),2), OFFSET($W$45,0,0,COUNT($W$45:$W$72),3),B7,$AJ$1,$B$3)</f>
        <v>9.8418455531366487</v>
      </c>
      <c r="AJ41" s="7">
        <f t="array" aca="1" ref="AJ41:AL41" ca="1">FLEXCOMPBIAXGR($B$4, $B$5, $B$6,OFFSET($A$45,0,0,COUNT($A$45:$A$70),2), OFFSET($W$45,0,0,COUNT($W$45:$W$72),3), B7, AI41,$B$3  )</f>
        <v>3.2207181734982271E-3</v>
      </c>
      <c r="AK41" s="7">
        <f ca="1"/>
        <v>-6.348836055815978</v>
      </c>
      <c r="AL41" s="7">
        <f ca="1"/>
        <v>152.211634969709</v>
      </c>
      <c r="AM41" s="7">
        <f t="shared" ref="AM41:AM42" ca="1" si="6">AL41*COS($X$6)+AK41*SIN($X$6)</f>
        <v>128.64472460742383</v>
      </c>
    </row>
    <row r="42" spans="1:45" x14ac:dyDescent="0.2">
      <c r="A42" s="34"/>
      <c r="B42" s="35"/>
      <c r="C42" s="35"/>
      <c r="D42" s="35"/>
      <c r="E42" s="35"/>
      <c r="F42" s="35"/>
      <c r="G42" s="35"/>
      <c r="H42" s="35"/>
      <c r="I42" s="34"/>
      <c r="J42" s="35"/>
      <c r="K42" s="35"/>
      <c r="L42" s="35"/>
      <c r="M42" s="35"/>
      <c r="N42" s="35"/>
      <c r="O42" s="35"/>
      <c r="P42" s="37"/>
      <c r="Q42" s="40"/>
      <c r="R42" s="40"/>
      <c r="S42" s="40"/>
      <c r="T42" s="27" t="s">
        <v>190</v>
      </c>
      <c r="U42" s="27" t="str">
        <f t="shared" si="0"/>
        <v/>
      </c>
      <c r="AC42" s="7">
        <f ca="1">XCOMPRESSGR($B$4,$B$5,$B$6,OFFSET($A$45,0,0,COUNT($A$45:$A$70),2), OFFSET($W$45,0,0,COUNT($W$45:$W$72),3),B7+180,$AD$1,$B$3)</f>
        <v>7.6274023999113325</v>
      </c>
      <c r="AD42" s="7">
        <f t="array" aca="1" ref="AD42:AF42" ca="1">FLEXCOMPBIAXGR($B$4, $B$5, $B$6,OFFSET($A$45,0,0,COUNT($A$45:$A$70),2), OFFSET($W$45,0,0,COUNT($W$45:$W$72),3),B7+180, AC42,$B$3  )</f>
        <v>5.3140220109995084E-3</v>
      </c>
      <c r="AE42" s="7">
        <f ca="1"/>
        <v>57.047544775898196</v>
      </c>
      <c r="AF42" s="7">
        <f ca="1"/>
        <v>-184.78824270456627</v>
      </c>
      <c r="AG42" s="7">
        <f t="shared" ca="1" si="5"/>
        <v>-131.50754011488976</v>
      </c>
      <c r="AI42" s="7">
        <f ca="1">XCOMPRESSGR($B$4,$B$5,$B$6,OFFSET($A$45,0,0,COUNT($A$45:$A$70),2), OFFSET($W$45,0,0,COUNT($W$45:$W$72),3),B7+180,$AJ$1,$B$3)</f>
        <v>7.6274023999113325</v>
      </c>
      <c r="AJ42" s="7">
        <f t="array" aca="1" ref="AJ42:AL42" ca="1">FLEXCOMPBIAXGR($B$4, $B$5, $B$6,OFFSET($A$45,0,0,COUNT($A$45:$A$70),2), OFFSET($W$45,0,0,COUNT($W$45:$W$72),3), B7+180, AI42,$B$3  )</f>
        <v>5.3140220109995084E-3</v>
      </c>
      <c r="AK42" s="7">
        <f ca="1"/>
        <v>57.047544775898196</v>
      </c>
      <c r="AL42" s="7">
        <f ca="1"/>
        <v>-184.78824270456627</v>
      </c>
      <c r="AM42" s="7">
        <f t="shared" ca="1" si="6"/>
        <v>-131.50754011488976</v>
      </c>
    </row>
    <row r="43" spans="1:45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</row>
    <row r="44" spans="1:45" x14ac:dyDescent="0.2">
      <c r="A44" s="3" t="s">
        <v>84</v>
      </c>
      <c r="B44" s="3" t="s">
        <v>85</v>
      </c>
      <c r="C44" s="3" t="s">
        <v>86</v>
      </c>
      <c r="D44" s="3" t="s">
        <v>87</v>
      </c>
      <c r="E44" s="3" t="s">
        <v>88</v>
      </c>
      <c r="F44" s="3" t="s">
        <v>89</v>
      </c>
      <c r="H44" s="3" t="s">
        <v>90</v>
      </c>
      <c r="I44" s="3" t="s">
        <v>91</v>
      </c>
      <c r="J44" s="3" t="s">
        <v>92</v>
      </c>
      <c r="K44" s="3" t="s">
        <v>93</v>
      </c>
      <c r="W44" s="3" t="s">
        <v>94</v>
      </c>
      <c r="X44" s="3" t="s">
        <v>95</v>
      </c>
      <c r="Y44" s="3" t="s">
        <v>96</v>
      </c>
      <c r="Z44" s="3" t="s">
        <v>97</v>
      </c>
      <c r="AA44" s="3" t="s">
        <v>98</v>
      </c>
      <c r="AB44" s="3" t="s">
        <v>99</v>
      </c>
      <c r="AC44" s="3" t="s">
        <v>100</v>
      </c>
      <c r="AD44" s="3" t="s">
        <v>101</v>
      </c>
      <c r="AE44" s="3" t="s">
        <v>102</v>
      </c>
      <c r="AF44" s="3" t="s">
        <v>103</v>
      </c>
      <c r="AG44" s="3" t="s">
        <v>104</v>
      </c>
      <c r="AH44" s="3" t="s">
        <v>105</v>
      </c>
      <c r="AI44" s="3" t="s">
        <v>106</v>
      </c>
    </row>
    <row r="45" spans="1:45" x14ac:dyDescent="0.2">
      <c r="A45" s="17">
        <v>0</v>
      </c>
      <c r="B45" s="17">
        <v>0</v>
      </c>
      <c r="C45" s="18">
        <f t="shared" ref="C45:C52" ca="1" si="7">IF(COUNT(A45),A45-$X$15,"")</f>
        <v>-11.134886976853462</v>
      </c>
      <c r="D45" s="18">
        <f ca="1">IF(COUNT(A45),B45-$X$16,"")</f>
        <v>-11.169718946458319</v>
      </c>
      <c r="E45" s="18">
        <f ca="1">IF(COUNT(A45),C45*COS($X$6)+D45*SIN($X$6),"")</f>
        <v>-15.227954463452766</v>
      </c>
      <c r="F45" s="18">
        <f ca="1">IF(COUNT(A45),-C45*SIN($X$6)+D45*COS($X$6),"")</f>
        <v>-4.105816872338532</v>
      </c>
      <c r="H45" s="18">
        <f t="array" aca="1" ref="H45:I72" ca="1">VERTCOMPRES(OFFSET($E$45,0,0,COUNT($E$45:$E$70),2),X21)</f>
        <v>9.6953665787963068</v>
      </c>
      <c r="I45" s="18">
        <f ca="1"/>
        <v>6.378792818487999</v>
      </c>
      <c r="J45" s="18">
        <f ca="1">IF(COUNT(H45),H45*COS($X$6)-I45*SIN($X$6),"")</f>
        <v>5.2070373469962252</v>
      </c>
      <c r="K45" s="18">
        <f ca="1">IF(COUNT(H45),H45*SIN($X$6)+I45*COS($X$6),"")</f>
        <v>10.371879915686499</v>
      </c>
      <c r="V45" s="2">
        <v>2</v>
      </c>
      <c r="W45" s="17">
        <v>7</v>
      </c>
      <c r="X45" s="17">
        <v>3</v>
      </c>
      <c r="Y45" s="17">
        <f>PI()*V45^2/4</f>
        <v>3.1415926535897931</v>
      </c>
      <c r="Z45" s="18">
        <f ca="1">IF(COUNT(W45),W45-$X$15,"")</f>
        <v>-4.134886976853462</v>
      </c>
      <c r="AA45" s="18">
        <f ca="1">IF(COUNT(W45),X45-$X$16,"")</f>
        <v>-8.1697189464583193</v>
      </c>
      <c r="AB45" s="18">
        <f t="shared" ref="AB45:AB72" ca="1" si="8">IF(COUNT(W45),Z45*COS($X$6)+AA45*SIN($X$6),"")</f>
        <v>-7.6657766369616951</v>
      </c>
      <c r="AC45" s="18">
        <f t="shared" ref="AC45:AC60" ca="1" si="9">IF(COUNT(W45),-Z45*SIN($X$6)+AA45*COS($X$6),"")</f>
        <v>-5.0077406609852151</v>
      </c>
      <c r="AD45" s="18">
        <f t="shared" ref="AD45:AD60" ca="1" si="10">IF(COUNT(W45),$X$18-AC45,"")</f>
        <v>18.186533479473212</v>
      </c>
      <c r="AE45" s="18">
        <f t="shared" ref="AE45:AE60" ca="1" si="11">IF(COUNT(W45),($B$8-AD45)*$AA$4,"")</f>
        <v>3.8199500548024545</v>
      </c>
      <c r="AF45" s="18">
        <f t="shared" ref="AF45:AF60" ca="1" si="12">IF(COUNT(W45),IF(ABS(AE45)&lt;$X$7,AE45*$B$6/1000,SIGN(AE45)*$B$5)-IF(AD45&lt;$X$20,$X$8),"")</f>
        <v>4.1999998092651367</v>
      </c>
      <c r="AG45" s="18">
        <f t="shared" ref="AG45:AG60" ca="1" si="13">IF(COUNT(W45),Y45*AF45,"")</f>
        <v>13.194688545865885</v>
      </c>
      <c r="AH45" s="18">
        <f t="shared" ref="AH45:AH60" ca="1" si="14">IF(COUNT(W45),AG45*AC45,"")</f>
        <v>-66.075578340168477</v>
      </c>
      <c r="AI45" s="18">
        <f t="shared" ref="AI45:AI60" ca="1" si="15">IF(COUNT(W45),AG45*AB45,"")</f>
        <v>-101.14753518688478</v>
      </c>
    </row>
    <row r="46" spans="1:45" x14ac:dyDescent="0.2">
      <c r="A46" s="22">
        <v>9</v>
      </c>
      <c r="B46" s="22">
        <v>-3</v>
      </c>
      <c r="C46" s="23">
        <f t="shared" ca="1" si="7"/>
        <v>-2.134886976853462</v>
      </c>
      <c r="D46" s="23">
        <f t="shared" ref="D46:D61" ca="1" si="16">IF(COUNT(A46),B46-$X$16,"")</f>
        <v>-14.169718946458319</v>
      </c>
      <c r="E46" s="23">
        <f t="shared" ref="E46:E61" ca="1" si="17">IF(COUNT(A46),C46*COS($X$6)+D46*SIN($X$6),"")</f>
        <v>-8.9337258293928183</v>
      </c>
      <c r="F46" s="23">
        <f t="shared" ref="F46:F61" ca="1" si="18">IF(COUNT(A46),-C46*SIN($X$6)+D46*COS($X$6),"")</f>
        <v>-11.203893083691847</v>
      </c>
      <c r="H46" s="23">
        <f ca="1"/>
        <v>2.8342233630383031</v>
      </c>
      <c r="I46" s="23">
        <f ca="1"/>
        <v>13.178792818487999</v>
      </c>
      <c r="J46" s="23">
        <f t="shared" ref="J46:J50" ca="1" si="19">IF(COUNT(H46),H46*COS($X$6)-I46*SIN($X$6),"")</f>
        <v>-4.134886976853462</v>
      </c>
      <c r="K46" s="23">
        <f t="shared" ref="K46:K50" ca="1" si="20">IF(COUNT(H46),H46*SIN($X$6)+I46*COS($X$6),"")</f>
        <v>12.830281053541681</v>
      </c>
      <c r="V46" s="2">
        <v>1.6</v>
      </c>
      <c r="W46" s="22">
        <v>18</v>
      </c>
      <c r="X46" s="22">
        <v>16</v>
      </c>
      <c r="Y46" s="22">
        <f t="shared" ref="Y46:Y47" si="21">PI()*V46^2/4</f>
        <v>2.0106192982974678</v>
      </c>
      <c r="Z46" s="23">
        <f t="shared" ref="Z46:Z72" ca="1" si="22">IF(COUNT(W46),W46-$X$15,"")</f>
        <v>6.865113023146538</v>
      </c>
      <c r="AA46" s="23">
        <f t="shared" ref="AA46:AA72" ca="1" si="23">IF(COUNT(W46),X46-$X$16,"")</f>
        <v>4.8302810535416807</v>
      </c>
      <c r="AB46" s="23">
        <f t="shared" ca="1" si="8"/>
        <v>8.3605028046671297</v>
      </c>
      <c r="AC46" s="23">
        <f t="shared" ca="1" si="9"/>
        <v>0.75058958821248956</v>
      </c>
      <c r="AD46" s="23">
        <f t="shared" ca="1" si="10"/>
        <v>12.428203230275509</v>
      </c>
      <c r="AE46" s="23">
        <f t="shared" ca="1" si="11"/>
        <v>1.6605762113533158</v>
      </c>
      <c r="AF46" s="23">
        <f t="shared" ca="1" si="12"/>
        <v>3.4872100438419631</v>
      </c>
      <c r="AG46" s="23">
        <f t="shared" ca="1" si="13"/>
        <v>7.0114518113654096</v>
      </c>
      <c r="AH46" s="23">
        <f t="shared" ca="1" si="14"/>
        <v>5.2627227278644764</v>
      </c>
      <c r="AI46" s="23">
        <f t="shared" ca="1" si="15"/>
        <v>58.619262533708934</v>
      </c>
    </row>
    <row r="47" spans="1:45" x14ac:dyDescent="0.2">
      <c r="A47" s="22">
        <v>26</v>
      </c>
      <c r="B47" s="22">
        <v>19</v>
      </c>
      <c r="C47" s="23">
        <f t="shared" ca="1" si="7"/>
        <v>14.865113023146538</v>
      </c>
      <c r="D47" s="23">
        <f t="shared" ca="1" si="16"/>
        <v>7.8302810535416807</v>
      </c>
      <c r="E47" s="23">
        <f t="shared" ca="1" si="17"/>
        <v>16.788706034942638</v>
      </c>
      <c r="F47" s="23">
        <f t="shared" ca="1" si="18"/>
        <v>-0.65133420043419399</v>
      </c>
      <c r="H47" s="23">
        <f ca="1"/>
        <v>-4.2716824929281803</v>
      </c>
      <c r="I47" s="23">
        <f ca="1"/>
        <v>6.378792818487999</v>
      </c>
      <c r="J47" s="23">
        <f t="shared" ca="1" si="19"/>
        <v>-6.8887819650210442</v>
      </c>
      <c r="K47" s="23">
        <f t="shared" ca="1" si="20"/>
        <v>3.3883553798242576</v>
      </c>
      <c r="V47" s="2">
        <v>1.6</v>
      </c>
      <c r="W47" s="22">
        <v>10</v>
      </c>
      <c r="X47" s="22">
        <v>18</v>
      </c>
      <c r="Y47" s="22">
        <f t="shared" si="21"/>
        <v>2.0106192982974678</v>
      </c>
      <c r="Z47" s="23">
        <f t="shared" ca="1" si="22"/>
        <v>-1.134886976853462</v>
      </c>
      <c r="AA47" s="23">
        <f t="shared" ca="1" si="23"/>
        <v>6.8302810535416807</v>
      </c>
      <c r="AB47" s="23">
        <f t="shared" ca="1" si="8"/>
        <v>2.4322995743916196</v>
      </c>
      <c r="AC47" s="23">
        <f t="shared" ca="1" si="9"/>
        <v>6.4826403957813667</v>
      </c>
      <c r="AD47" s="23">
        <f t="shared" ca="1" si="10"/>
        <v>6.696152422706632</v>
      </c>
      <c r="AE47" s="23">
        <f t="shared" ca="1" si="11"/>
        <v>-0.48894284148501299</v>
      </c>
      <c r="AF47" s="23">
        <f t="shared" ca="1" si="12"/>
        <v>-0.84827997269156163</v>
      </c>
      <c r="AG47" s="23">
        <f t="shared" ca="1" si="13"/>
        <v>-1.7055680834529028</v>
      </c>
      <c r="AH47" s="23">
        <f t="shared" ca="1" si="14"/>
        <v>-11.056584555547193</v>
      </c>
      <c r="AI47" s="23">
        <f t="shared" ca="1" si="15"/>
        <v>-4.1484525234784257</v>
      </c>
    </row>
    <row r="48" spans="1:45" x14ac:dyDescent="0.2">
      <c r="A48" s="22">
        <v>7</v>
      </c>
      <c r="B48" s="22">
        <v>24</v>
      </c>
      <c r="C48" s="23">
        <f t="shared" ca="1" si="7"/>
        <v>-4.134886976853462</v>
      </c>
      <c r="D48" s="23">
        <f t="shared" ca="1" si="16"/>
        <v>12.830281053541681</v>
      </c>
      <c r="E48" s="23">
        <f t="shared" ca="1" si="17"/>
        <v>2.8342233630383031</v>
      </c>
      <c r="F48" s="23">
        <f t="shared" ca="1" si="18"/>
        <v>13.178792818487999</v>
      </c>
      <c r="H48" s="23">
        <f ca="1"/>
        <v>9.6953665787963068</v>
      </c>
      <c r="I48" s="23">
        <f ca="1"/>
        <v>6.378792818487999</v>
      </c>
      <c r="J48" s="23">
        <f t="shared" ca="1" si="19"/>
        <v>5.2070373469962252</v>
      </c>
      <c r="K48" s="23">
        <f t="shared" ca="1" si="20"/>
        <v>10.371879915686499</v>
      </c>
      <c r="W48" s="22"/>
      <c r="X48" s="22"/>
      <c r="Y48" s="22"/>
      <c r="Z48" s="23" t="str">
        <f t="shared" si="22"/>
        <v/>
      </c>
      <c r="AA48" s="23" t="str">
        <f t="shared" si="23"/>
        <v/>
      </c>
      <c r="AB48" s="23" t="str">
        <f t="shared" si="8"/>
        <v/>
      </c>
      <c r="AC48" s="23" t="str">
        <f t="shared" si="9"/>
        <v/>
      </c>
      <c r="AD48" s="23" t="str">
        <f t="shared" si="10"/>
        <v/>
      </c>
      <c r="AE48" s="23" t="str">
        <f t="shared" si="11"/>
        <v/>
      </c>
      <c r="AF48" s="23" t="str">
        <f t="shared" si="12"/>
        <v/>
      </c>
      <c r="AG48" s="23" t="str">
        <f t="shared" si="13"/>
        <v/>
      </c>
      <c r="AH48" s="23" t="str">
        <f t="shared" si="14"/>
        <v/>
      </c>
      <c r="AI48" s="23" t="str">
        <f t="shared" si="15"/>
        <v/>
      </c>
    </row>
    <row r="49" spans="1:35" x14ac:dyDescent="0.2">
      <c r="A49" s="22">
        <v>0</v>
      </c>
      <c r="B49" s="22">
        <v>0</v>
      </c>
      <c r="C49" s="23">
        <f t="shared" ca="1" si="7"/>
        <v>-11.134886976853462</v>
      </c>
      <c r="D49" s="23">
        <f t="shared" ca="1" si="16"/>
        <v>-11.169718946458319</v>
      </c>
      <c r="E49" s="23">
        <f t="shared" ca="1" si="17"/>
        <v>-15.227954463452766</v>
      </c>
      <c r="F49" s="23">
        <f t="shared" ca="1" si="18"/>
        <v>-4.105816872338532</v>
      </c>
      <c r="H49" s="23" t="e">
        <f ca="1"/>
        <v>#N/A</v>
      </c>
      <c r="I49" s="23" t="e">
        <f ca="1"/>
        <v>#N/A</v>
      </c>
      <c r="J49" s="23" t="str">
        <f t="shared" ca="1" si="19"/>
        <v/>
      </c>
      <c r="K49" s="23" t="str">
        <f t="shared" ca="1" si="20"/>
        <v/>
      </c>
      <c r="W49" s="22"/>
      <c r="X49" s="22"/>
      <c r="Y49" s="22"/>
      <c r="Z49" s="23" t="str">
        <f t="shared" si="22"/>
        <v/>
      </c>
      <c r="AA49" s="23" t="str">
        <f t="shared" si="23"/>
        <v/>
      </c>
      <c r="AB49" s="23" t="str">
        <f t="shared" si="8"/>
        <v/>
      </c>
      <c r="AC49" s="23" t="str">
        <f t="shared" si="9"/>
        <v/>
      </c>
      <c r="AD49" s="23" t="str">
        <f t="shared" si="10"/>
        <v/>
      </c>
      <c r="AE49" s="23" t="str">
        <f t="shared" si="11"/>
        <v/>
      </c>
      <c r="AF49" s="23" t="str">
        <f t="shared" si="12"/>
        <v/>
      </c>
      <c r="AG49" s="23" t="str">
        <f t="shared" si="13"/>
        <v/>
      </c>
      <c r="AH49" s="23" t="str">
        <f t="shared" si="14"/>
        <v/>
      </c>
      <c r="AI49" s="23" t="str">
        <f t="shared" si="15"/>
        <v/>
      </c>
    </row>
    <row r="50" spans="1:35" x14ac:dyDescent="0.2">
      <c r="A50" s="22"/>
      <c r="B50" s="22"/>
      <c r="C50" s="23" t="str">
        <f t="shared" si="7"/>
        <v/>
      </c>
      <c r="D50" s="23" t="str">
        <f t="shared" si="16"/>
        <v/>
      </c>
      <c r="E50" s="23" t="str">
        <f t="shared" si="17"/>
        <v/>
      </c>
      <c r="F50" s="23" t="str">
        <f t="shared" si="18"/>
        <v/>
      </c>
      <c r="H50" s="23" t="e">
        <f ca="1"/>
        <v>#N/A</v>
      </c>
      <c r="I50" s="23" t="e">
        <f ca="1"/>
        <v>#N/A</v>
      </c>
      <c r="J50" s="23" t="str">
        <f t="shared" ca="1" si="19"/>
        <v/>
      </c>
      <c r="K50" s="23" t="str">
        <f t="shared" ca="1" si="20"/>
        <v/>
      </c>
      <c r="W50" s="22"/>
      <c r="X50" s="22"/>
      <c r="Y50" s="22"/>
      <c r="Z50" s="23" t="str">
        <f t="shared" si="22"/>
        <v/>
      </c>
      <c r="AA50" s="23" t="str">
        <f t="shared" si="23"/>
        <v/>
      </c>
      <c r="AB50" s="23" t="str">
        <f t="shared" si="8"/>
        <v/>
      </c>
      <c r="AC50" s="23" t="str">
        <f t="shared" si="9"/>
        <v/>
      </c>
      <c r="AD50" s="23" t="str">
        <f t="shared" si="10"/>
        <v/>
      </c>
      <c r="AE50" s="23" t="str">
        <f t="shared" si="11"/>
        <v/>
      </c>
      <c r="AF50" s="23" t="str">
        <f t="shared" si="12"/>
        <v/>
      </c>
      <c r="AG50" s="23" t="str">
        <f t="shared" si="13"/>
        <v/>
      </c>
      <c r="AH50" s="23" t="str">
        <f t="shared" si="14"/>
        <v/>
      </c>
      <c r="AI50" s="23" t="str">
        <f t="shared" si="15"/>
        <v/>
      </c>
    </row>
    <row r="51" spans="1:35" x14ac:dyDescent="0.2">
      <c r="A51" s="22"/>
      <c r="B51" s="22"/>
      <c r="C51" s="23" t="str">
        <f t="shared" si="7"/>
        <v/>
      </c>
      <c r="D51" s="23" t="str">
        <f t="shared" si="16"/>
        <v/>
      </c>
      <c r="E51" s="23" t="str">
        <f t="shared" si="17"/>
        <v/>
      </c>
      <c r="F51" s="23" t="str">
        <f t="shared" si="18"/>
        <v/>
      </c>
      <c r="H51" s="23" t="e">
        <f ca="1"/>
        <v>#N/A</v>
      </c>
      <c r="I51" s="23" t="e">
        <f ca="1"/>
        <v>#N/A</v>
      </c>
      <c r="J51" s="23" t="str">
        <f t="shared" ref="J51:J66" ca="1" si="24">IF(COUNT(H51),H51*COS($X$6)-I51*SIN($X$6),"")</f>
        <v/>
      </c>
      <c r="K51" s="23" t="str">
        <f t="shared" ref="K51:K66" ca="1" si="25">IF(COUNT(H51),H51*SIN($X$6)+I51*COS($X$6),"")</f>
        <v/>
      </c>
      <c r="W51" s="22"/>
      <c r="X51" s="22"/>
      <c r="Y51" s="22"/>
      <c r="Z51" s="23" t="str">
        <f t="shared" si="22"/>
        <v/>
      </c>
      <c r="AA51" s="23" t="str">
        <f t="shared" si="23"/>
        <v/>
      </c>
      <c r="AB51" s="23" t="str">
        <f t="shared" si="8"/>
        <v/>
      </c>
      <c r="AC51" s="23" t="str">
        <f t="shared" si="9"/>
        <v/>
      </c>
      <c r="AD51" s="23" t="str">
        <f t="shared" si="10"/>
        <v/>
      </c>
      <c r="AE51" s="23" t="str">
        <f t="shared" si="11"/>
        <v/>
      </c>
      <c r="AF51" s="23" t="str">
        <f t="shared" si="12"/>
        <v/>
      </c>
      <c r="AG51" s="23" t="str">
        <f t="shared" si="13"/>
        <v/>
      </c>
      <c r="AH51" s="23" t="str">
        <f t="shared" si="14"/>
        <v/>
      </c>
      <c r="AI51" s="23" t="str">
        <f t="shared" si="15"/>
        <v/>
      </c>
    </row>
    <row r="52" spans="1:35" x14ac:dyDescent="0.2">
      <c r="A52" s="22"/>
      <c r="B52" s="22"/>
      <c r="C52" s="23" t="str">
        <f t="shared" si="7"/>
        <v/>
      </c>
      <c r="D52" s="23" t="str">
        <f t="shared" si="16"/>
        <v/>
      </c>
      <c r="E52" s="23" t="str">
        <f t="shared" si="17"/>
        <v/>
      </c>
      <c r="F52" s="23" t="str">
        <f t="shared" si="18"/>
        <v/>
      </c>
      <c r="H52" s="23" t="e">
        <f ca="1"/>
        <v>#N/A</v>
      </c>
      <c r="I52" s="23" t="e">
        <f ca="1"/>
        <v>#N/A</v>
      </c>
      <c r="J52" s="23" t="str">
        <f t="shared" ca="1" si="24"/>
        <v/>
      </c>
      <c r="K52" s="23" t="str">
        <f t="shared" ca="1" si="25"/>
        <v/>
      </c>
      <c r="W52" s="22"/>
      <c r="X52" s="22"/>
      <c r="Y52" s="22"/>
      <c r="Z52" s="23" t="str">
        <f t="shared" si="22"/>
        <v/>
      </c>
      <c r="AA52" s="23" t="str">
        <f t="shared" si="23"/>
        <v/>
      </c>
      <c r="AB52" s="23" t="str">
        <f t="shared" si="8"/>
        <v/>
      </c>
      <c r="AC52" s="23" t="str">
        <f t="shared" si="9"/>
        <v/>
      </c>
      <c r="AD52" s="23" t="str">
        <f t="shared" si="10"/>
        <v/>
      </c>
      <c r="AE52" s="23" t="str">
        <f t="shared" si="11"/>
        <v/>
      </c>
      <c r="AF52" s="23" t="str">
        <f t="shared" si="12"/>
        <v/>
      </c>
      <c r="AG52" s="23" t="str">
        <f t="shared" si="13"/>
        <v/>
      </c>
      <c r="AH52" s="23" t="str">
        <f t="shared" si="14"/>
        <v/>
      </c>
      <c r="AI52" s="23" t="str">
        <f t="shared" si="15"/>
        <v/>
      </c>
    </row>
    <row r="53" spans="1:35" x14ac:dyDescent="0.2">
      <c r="A53" s="22"/>
      <c r="B53" s="22"/>
      <c r="C53" s="23" t="str">
        <f>IF(COUNT(A53),A53-$X$15,"")</f>
        <v/>
      </c>
      <c r="D53" s="23" t="str">
        <f t="shared" si="16"/>
        <v/>
      </c>
      <c r="E53" s="23" t="str">
        <f t="shared" si="17"/>
        <v/>
      </c>
      <c r="F53" s="23" t="str">
        <f t="shared" si="18"/>
        <v/>
      </c>
      <c r="H53" s="23" t="e">
        <f ca="1"/>
        <v>#N/A</v>
      </c>
      <c r="I53" s="23" t="e">
        <f ca="1"/>
        <v>#N/A</v>
      </c>
      <c r="J53" s="23" t="str">
        <f t="shared" ca="1" si="24"/>
        <v/>
      </c>
      <c r="K53" s="23" t="str">
        <f t="shared" ca="1" si="25"/>
        <v/>
      </c>
      <c r="W53" s="22"/>
      <c r="X53" s="22"/>
      <c r="Y53" s="22"/>
      <c r="Z53" s="23" t="str">
        <f t="shared" si="22"/>
        <v/>
      </c>
      <c r="AA53" s="23" t="str">
        <f t="shared" si="23"/>
        <v/>
      </c>
      <c r="AB53" s="23" t="str">
        <f t="shared" si="8"/>
        <v/>
      </c>
      <c r="AC53" s="23" t="str">
        <f t="shared" si="9"/>
        <v/>
      </c>
      <c r="AD53" s="23" t="str">
        <f t="shared" si="10"/>
        <v/>
      </c>
      <c r="AE53" s="23" t="str">
        <f t="shared" si="11"/>
        <v/>
      </c>
      <c r="AF53" s="23" t="str">
        <f t="shared" si="12"/>
        <v/>
      </c>
      <c r="AG53" s="23" t="str">
        <f t="shared" si="13"/>
        <v/>
      </c>
      <c r="AH53" s="23" t="str">
        <f t="shared" si="14"/>
        <v/>
      </c>
      <c r="AI53" s="23" t="str">
        <f t="shared" si="15"/>
        <v/>
      </c>
    </row>
    <row r="54" spans="1:35" x14ac:dyDescent="0.2">
      <c r="A54" s="22"/>
      <c r="B54" s="22"/>
      <c r="C54" s="23" t="str">
        <f>IF(COUNT(A54),A54-$X$15,"")</f>
        <v/>
      </c>
      <c r="D54" s="23" t="str">
        <f t="shared" si="16"/>
        <v/>
      </c>
      <c r="E54" s="23" t="str">
        <f t="shared" si="17"/>
        <v/>
      </c>
      <c r="F54" s="23" t="str">
        <f t="shared" si="18"/>
        <v/>
      </c>
      <c r="H54" s="23" t="e">
        <f ca="1"/>
        <v>#N/A</v>
      </c>
      <c r="I54" s="23" t="e">
        <f ca="1"/>
        <v>#N/A</v>
      </c>
      <c r="J54" s="23" t="str">
        <f t="shared" ca="1" si="24"/>
        <v/>
      </c>
      <c r="K54" s="23" t="str">
        <f t="shared" ca="1" si="25"/>
        <v/>
      </c>
      <c r="W54" s="22"/>
      <c r="X54" s="22"/>
      <c r="Y54" s="22"/>
      <c r="Z54" s="23" t="str">
        <f t="shared" si="22"/>
        <v/>
      </c>
      <c r="AA54" s="23" t="str">
        <f t="shared" si="23"/>
        <v/>
      </c>
      <c r="AB54" s="23" t="str">
        <f t="shared" si="8"/>
        <v/>
      </c>
      <c r="AC54" s="23" t="str">
        <f t="shared" si="9"/>
        <v/>
      </c>
      <c r="AD54" s="23" t="str">
        <f t="shared" si="10"/>
        <v/>
      </c>
      <c r="AE54" s="23" t="str">
        <f t="shared" si="11"/>
        <v/>
      </c>
      <c r="AF54" s="23" t="str">
        <f t="shared" si="12"/>
        <v/>
      </c>
      <c r="AG54" s="23" t="str">
        <f t="shared" si="13"/>
        <v/>
      </c>
      <c r="AH54" s="23" t="str">
        <f t="shared" si="14"/>
        <v/>
      </c>
      <c r="AI54" s="23" t="str">
        <f t="shared" si="15"/>
        <v/>
      </c>
    </row>
    <row r="55" spans="1:35" x14ac:dyDescent="0.2">
      <c r="A55" s="22"/>
      <c r="B55" s="22"/>
      <c r="C55" s="23" t="str">
        <f t="shared" ref="C55:C61" si="26">IF(COUNT(A55),A55-$X$15,"")</f>
        <v/>
      </c>
      <c r="D55" s="23" t="str">
        <f t="shared" si="16"/>
        <v/>
      </c>
      <c r="E55" s="23" t="str">
        <f t="shared" si="17"/>
        <v/>
      </c>
      <c r="F55" s="23" t="str">
        <f t="shared" si="18"/>
        <v/>
      </c>
      <c r="H55" s="23" t="e">
        <f ca="1"/>
        <v>#N/A</v>
      </c>
      <c r="I55" s="23" t="e">
        <f ca="1"/>
        <v>#N/A</v>
      </c>
      <c r="J55" s="23" t="str">
        <f t="shared" ca="1" si="24"/>
        <v/>
      </c>
      <c r="K55" s="23" t="str">
        <f t="shared" ca="1" si="25"/>
        <v/>
      </c>
      <c r="W55" s="22"/>
      <c r="X55" s="22"/>
      <c r="Y55" s="22"/>
      <c r="Z55" s="23" t="str">
        <f t="shared" si="22"/>
        <v/>
      </c>
      <c r="AA55" s="23" t="str">
        <f t="shared" si="23"/>
        <v/>
      </c>
      <c r="AB55" s="23" t="str">
        <f t="shared" si="8"/>
        <v/>
      </c>
      <c r="AC55" s="23" t="str">
        <f t="shared" si="9"/>
        <v/>
      </c>
      <c r="AD55" s="23" t="str">
        <f t="shared" si="10"/>
        <v/>
      </c>
      <c r="AE55" s="23" t="str">
        <f t="shared" si="11"/>
        <v/>
      </c>
      <c r="AF55" s="23" t="str">
        <f t="shared" si="12"/>
        <v/>
      </c>
      <c r="AG55" s="23" t="str">
        <f t="shared" si="13"/>
        <v/>
      </c>
      <c r="AH55" s="23" t="str">
        <f t="shared" si="14"/>
        <v/>
      </c>
      <c r="AI55" s="23" t="str">
        <f t="shared" si="15"/>
        <v/>
      </c>
    </row>
    <row r="56" spans="1:35" x14ac:dyDescent="0.2">
      <c r="A56" s="22"/>
      <c r="B56" s="22"/>
      <c r="C56" s="23" t="str">
        <f t="shared" si="26"/>
        <v/>
      </c>
      <c r="D56" s="23" t="str">
        <f t="shared" si="16"/>
        <v/>
      </c>
      <c r="E56" s="23" t="str">
        <f t="shared" si="17"/>
        <v/>
      </c>
      <c r="F56" s="23" t="str">
        <f t="shared" si="18"/>
        <v/>
      </c>
      <c r="H56" s="23" t="e">
        <f ca="1"/>
        <v>#N/A</v>
      </c>
      <c r="I56" s="23" t="e">
        <f ca="1"/>
        <v>#N/A</v>
      </c>
      <c r="J56" s="23" t="str">
        <f t="shared" ca="1" si="24"/>
        <v/>
      </c>
      <c r="K56" s="23" t="str">
        <f t="shared" ca="1" si="25"/>
        <v/>
      </c>
      <c r="W56" s="22"/>
      <c r="X56" s="22"/>
      <c r="Y56" s="22"/>
      <c r="Z56" s="23" t="str">
        <f t="shared" si="22"/>
        <v/>
      </c>
      <c r="AA56" s="23" t="str">
        <f t="shared" si="23"/>
        <v/>
      </c>
      <c r="AB56" s="23" t="str">
        <f t="shared" si="8"/>
        <v/>
      </c>
      <c r="AC56" s="23" t="str">
        <f t="shared" si="9"/>
        <v/>
      </c>
      <c r="AD56" s="23" t="str">
        <f t="shared" si="10"/>
        <v/>
      </c>
      <c r="AE56" s="23" t="str">
        <f t="shared" si="11"/>
        <v/>
      </c>
      <c r="AF56" s="23" t="str">
        <f t="shared" si="12"/>
        <v/>
      </c>
      <c r="AG56" s="23" t="str">
        <f t="shared" si="13"/>
        <v/>
      </c>
      <c r="AH56" s="23" t="str">
        <f t="shared" si="14"/>
        <v/>
      </c>
      <c r="AI56" s="23" t="str">
        <f t="shared" si="15"/>
        <v/>
      </c>
    </row>
    <row r="57" spans="1:35" x14ac:dyDescent="0.2">
      <c r="A57" s="22"/>
      <c r="B57" s="22"/>
      <c r="C57" s="23" t="str">
        <f t="shared" si="26"/>
        <v/>
      </c>
      <c r="D57" s="23" t="str">
        <f t="shared" si="16"/>
        <v/>
      </c>
      <c r="E57" s="23" t="str">
        <f t="shared" si="17"/>
        <v/>
      </c>
      <c r="F57" s="23" t="str">
        <f t="shared" si="18"/>
        <v/>
      </c>
      <c r="H57" s="23" t="e">
        <f ca="1"/>
        <v>#N/A</v>
      </c>
      <c r="I57" s="23" t="e">
        <f ca="1"/>
        <v>#N/A</v>
      </c>
      <c r="J57" s="23" t="str">
        <f t="shared" ca="1" si="24"/>
        <v/>
      </c>
      <c r="K57" s="23" t="str">
        <f t="shared" ca="1" si="25"/>
        <v/>
      </c>
      <c r="W57" s="22"/>
      <c r="X57" s="22"/>
      <c r="Y57" s="22"/>
      <c r="Z57" s="23" t="str">
        <f t="shared" si="22"/>
        <v/>
      </c>
      <c r="AA57" s="23" t="str">
        <f t="shared" si="23"/>
        <v/>
      </c>
      <c r="AB57" s="23" t="str">
        <f t="shared" si="8"/>
        <v/>
      </c>
      <c r="AC57" s="23" t="str">
        <f t="shared" si="9"/>
        <v/>
      </c>
      <c r="AD57" s="23" t="str">
        <f t="shared" si="10"/>
        <v/>
      </c>
      <c r="AE57" s="23" t="str">
        <f t="shared" si="11"/>
        <v/>
      </c>
      <c r="AF57" s="23" t="str">
        <f t="shared" si="12"/>
        <v/>
      </c>
      <c r="AG57" s="23" t="str">
        <f t="shared" si="13"/>
        <v/>
      </c>
      <c r="AH57" s="23" t="str">
        <f t="shared" si="14"/>
        <v/>
      </c>
      <c r="AI57" s="23" t="str">
        <f t="shared" si="15"/>
        <v/>
      </c>
    </row>
    <row r="58" spans="1:35" x14ac:dyDescent="0.2">
      <c r="A58" s="22"/>
      <c r="B58" s="22"/>
      <c r="C58" s="23" t="str">
        <f t="shared" si="26"/>
        <v/>
      </c>
      <c r="D58" s="23" t="str">
        <f t="shared" si="16"/>
        <v/>
      </c>
      <c r="E58" s="23" t="str">
        <f t="shared" si="17"/>
        <v/>
      </c>
      <c r="F58" s="23" t="str">
        <f t="shared" si="18"/>
        <v/>
      </c>
      <c r="H58" s="23" t="e">
        <f ca="1"/>
        <v>#N/A</v>
      </c>
      <c r="I58" s="23" t="e">
        <f ca="1"/>
        <v>#N/A</v>
      </c>
      <c r="J58" s="23" t="str">
        <f t="shared" ca="1" si="24"/>
        <v/>
      </c>
      <c r="K58" s="23" t="str">
        <f t="shared" ca="1" si="25"/>
        <v/>
      </c>
      <c r="W58" s="22"/>
      <c r="X58" s="22"/>
      <c r="Y58" s="22"/>
      <c r="Z58" s="23" t="str">
        <f t="shared" si="22"/>
        <v/>
      </c>
      <c r="AA58" s="23" t="str">
        <f t="shared" si="23"/>
        <v/>
      </c>
      <c r="AB58" s="23" t="str">
        <f t="shared" si="8"/>
        <v/>
      </c>
      <c r="AC58" s="23" t="str">
        <f t="shared" si="9"/>
        <v/>
      </c>
      <c r="AD58" s="23" t="str">
        <f t="shared" si="10"/>
        <v/>
      </c>
      <c r="AE58" s="23" t="str">
        <f t="shared" si="11"/>
        <v/>
      </c>
      <c r="AF58" s="23" t="str">
        <f t="shared" si="12"/>
        <v/>
      </c>
      <c r="AG58" s="23" t="str">
        <f t="shared" si="13"/>
        <v/>
      </c>
      <c r="AH58" s="23" t="str">
        <f t="shared" si="14"/>
        <v/>
      </c>
      <c r="AI58" s="23" t="str">
        <f t="shared" si="15"/>
        <v/>
      </c>
    </row>
    <row r="59" spans="1:35" x14ac:dyDescent="0.2">
      <c r="A59" s="22"/>
      <c r="B59" s="22"/>
      <c r="C59" s="23" t="str">
        <f t="shared" si="26"/>
        <v/>
      </c>
      <c r="D59" s="23" t="str">
        <f t="shared" si="16"/>
        <v/>
      </c>
      <c r="E59" s="23" t="str">
        <f t="shared" si="17"/>
        <v/>
      </c>
      <c r="F59" s="23" t="str">
        <f t="shared" si="18"/>
        <v/>
      </c>
      <c r="H59" s="23" t="e">
        <f ca="1"/>
        <v>#N/A</v>
      </c>
      <c r="I59" s="23" t="e">
        <f ca="1"/>
        <v>#N/A</v>
      </c>
      <c r="J59" s="23" t="str">
        <f t="shared" ca="1" si="24"/>
        <v/>
      </c>
      <c r="K59" s="23" t="str">
        <f t="shared" ca="1" si="25"/>
        <v/>
      </c>
      <c r="W59" s="22"/>
      <c r="X59" s="22"/>
      <c r="Y59" s="22"/>
      <c r="Z59" s="23" t="str">
        <f t="shared" si="22"/>
        <v/>
      </c>
      <c r="AA59" s="23" t="str">
        <f t="shared" si="23"/>
        <v/>
      </c>
      <c r="AB59" s="23" t="str">
        <f t="shared" si="8"/>
        <v/>
      </c>
      <c r="AC59" s="23" t="str">
        <f t="shared" si="9"/>
        <v/>
      </c>
      <c r="AD59" s="23" t="str">
        <f t="shared" si="10"/>
        <v/>
      </c>
      <c r="AE59" s="23" t="str">
        <f t="shared" si="11"/>
        <v/>
      </c>
      <c r="AF59" s="23" t="str">
        <f t="shared" si="12"/>
        <v/>
      </c>
      <c r="AG59" s="23" t="str">
        <f t="shared" si="13"/>
        <v/>
      </c>
      <c r="AH59" s="23" t="str">
        <f t="shared" si="14"/>
        <v/>
      </c>
      <c r="AI59" s="23" t="str">
        <f t="shared" si="15"/>
        <v/>
      </c>
    </row>
    <row r="60" spans="1:35" x14ac:dyDescent="0.2">
      <c r="A60" s="22"/>
      <c r="B60" s="22"/>
      <c r="C60" s="23" t="str">
        <f t="shared" si="26"/>
        <v/>
      </c>
      <c r="D60" s="23" t="str">
        <f t="shared" si="16"/>
        <v/>
      </c>
      <c r="E60" s="23" t="str">
        <f t="shared" si="17"/>
        <v/>
      </c>
      <c r="F60" s="23" t="str">
        <f t="shared" si="18"/>
        <v/>
      </c>
      <c r="H60" s="23" t="e">
        <f ca="1"/>
        <v>#N/A</v>
      </c>
      <c r="I60" s="23" t="e">
        <f ca="1"/>
        <v>#N/A</v>
      </c>
      <c r="J60" s="23" t="str">
        <f t="shared" ca="1" si="24"/>
        <v/>
      </c>
      <c r="K60" s="23" t="str">
        <f t="shared" ca="1" si="25"/>
        <v/>
      </c>
      <c r="W60" s="22"/>
      <c r="X60" s="22"/>
      <c r="Y60" s="22"/>
      <c r="Z60" s="23" t="str">
        <f t="shared" si="22"/>
        <v/>
      </c>
      <c r="AA60" s="23" t="str">
        <f t="shared" si="23"/>
        <v/>
      </c>
      <c r="AB60" s="23" t="str">
        <f t="shared" si="8"/>
        <v/>
      </c>
      <c r="AC60" s="23" t="str">
        <f t="shared" si="9"/>
        <v/>
      </c>
      <c r="AD60" s="23" t="str">
        <f t="shared" si="10"/>
        <v/>
      </c>
      <c r="AE60" s="23" t="str">
        <f t="shared" si="11"/>
        <v/>
      </c>
      <c r="AF60" s="23" t="str">
        <f t="shared" si="12"/>
        <v/>
      </c>
      <c r="AG60" s="23" t="str">
        <f t="shared" si="13"/>
        <v/>
      </c>
      <c r="AH60" s="23" t="str">
        <f t="shared" si="14"/>
        <v/>
      </c>
      <c r="AI60" s="23" t="str">
        <f t="shared" si="15"/>
        <v/>
      </c>
    </row>
    <row r="61" spans="1:35" x14ac:dyDescent="0.2">
      <c r="A61" s="22"/>
      <c r="B61" s="22"/>
      <c r="C61" s="23" t="str">
        <f t="shared" si="26"/>
        <v/>
      </c>
      <c r="D61" s="23" t="str">
        <f t="shared" si="16"/>
        <v/>
      </c>
      <c r="E61" s="23" t="str">
        <f t="shared" si="17"/>
        <v/>
      </c>
      <c r="F61" s="23" t="str">
        <f t="shared" si="18"/>
        <v/>
      </c>
      <c r="H61" s="23" t="e">
        <f ca="1"/>
        <v>#N/A</v>
      </c>
      <c r="I61" s="23" t="e">
        <f ca="1"/>
        <v>#N/A</v>
      </c>
      <c r="J61" s="23" t="str">
        <f t="shared" ca="1" si="24"/>
        <v/>
      </c>
      <c r="K61" s="23" t="str">
        <f t="shared" ca="1" si="25"/>
        <v/>
      </c>
      <c r="W61" s="22"/>
      <c r="X61" s="22"/>
      <c r="Y61" s="22"/>
      <c r="Z61" s="23" t="str">
        <f t="shared" si="22"/>
        <v/>
      </c>
      <c r="AA61" s="23" t="str">
        <f t="shared" si="23"/>
        <v/>
      </c>
      <c r="AB61" s="23" t="str">
        <f t="shared" si="8"/>
        <v/>
      </c>
      <c r="AC61" s="23" t="str">
        <f>IF(COUNT(W61),-Z61*SIN($X$6)+AA61*COS($X$6),"")</f>
        <v/>
      </c>
      <c r="AD61" s="23" t="str">
        <f>IF(COUNT(W61),$X$18-AC61,"")</f>
        <v/>
      </c>
      <c r="AE61" s="23" t="str">
        <f>IF(COUNT(W61),($B$8-AD61)*$AA$4,"")</f>
        <v/>
      </c>
      <c r="AF61" s="23" t="str">
        <f>IF(COUNT(W61),IF(ABS(AE61)&lt;$X$7,AE61*$B$6/1000,SIGN(AE61)*$B$5)-IF(AD61&lt;$X$20,$X$8),"")</f>
        <v/>
      </c>
      <c r="AG61" s="23" t="str">
        <f>IF(COUNT(W61),Y61*AF61,"")</f>
        <v/>
      </c>
      <c r="AH61" s="23" t="str">
        <f>IF(COUNT(W61),AG61*AC61,"")</f>
        <v/>
      </c>
      <c r="AI61" s="23" t="str">
        <f>IF(COUNT(W61),AG61*AB61,"")</f>
        <v/>
      </c>
    </row>
    <row r="62" spans="1:35" x14ac:dyDescent="0.2">
      <c r="A62" s="22"/>
      <c r="B62" s="22"/>
      <c r="C62" s="23"/>
      <c r="D62" s="23"/>
      <c r="E62" s="23"/>
      <c r="F62" s="23"/>
      <c r="H62" s="23" t="e">
        <f ca="1"/>
        <v>#N/A</v>
      </c>
      <c r="I62" s="23" t="e">
        <f ca="1"/>
        <v>#N/A</v>
      </c>
      <c r="J62" s="23" t="str">
        <f t="shared" ca="1" si="24"/>
        <v/>
      </c>
      <c r="K62" s="23" t="str">
        <f t="shared" ca="1" si="25"/>
        <v/>
      </c>
      <c r="W62" s="22"/>
      <c r="X62" s="22"/>
      <c r="Y62" s="22"/>
      <c r="Z62" s="23" t="str">
        <f t="shared" si="22"/>
        <v/>
      </c>
      <c r="AA62" s="23" t="str">
        <f t="shared" si="23"/>
        <v/>
      </c>
      <c r="AB62" s="23" t="str">
        <f t="shared" si="8"/>
        <v/>
      </c>
      <c r="AC62" s="23" t="str">
        <f t="shared" ref="AC62:AC72" si="27">IF(COUNT(W62),-Z62*SIN($X$6)+AA62*COS($X$6),"")</f>
        <v/>
      </c>
      <c r="AD62" s="23" t="str">
        <f t="shared" ref="AD62:AD72" si="28">IF(COUNT(W62),$X$18-AC62,"")</f>
        <v/>
      </c>
      <c r="AE62" s="23" t="str">
        <f t="shared" ref="AE62:AE72" si="29">IF(COUNT(W62),($B$8-AD62)*$AA$4,"")</f>
        <v/>
      </c>
      <c r="AF62" s="23" t="str">
        <f t="shared" ref="AF62:AF72" si="30">IF(COUNT(W62),IF(ABS(AE62)&lt;$X$7,AE62*$B$6/1000,SIGN(AE62)*$B$5)-IF(AD62&lt;$X$20,$X$8),"")</f>
        <v/>
      </c>
      <c r="AG62" s="23" t="str">
        <f t="shared" ref="AG62:AG72" si="31">IF(COUNT(W62),Y62*AF62,"")</f>
        <v/>
      </c>
      <c r="AH62" s="23" t="str">
        <f t="shared" ref="AH62:AH72" si="32">IF(COUNT(W62),AG62*AC62,"")</f>
        <v/>
      </c>
      <c r="AI62" s="23" t="str">
        <f t="shared" ref="AI62:AI72" si="33">IF(COUNT(W62),AG62*AB62,"")</f>
        <v/>
      </c>
    </row>
    <row r="63" spans="1:35" x14ac:dyDescent="0.2">
      <c r="A63" s="22"/>
      <c r="B63" s="22"/>
      <c r="C63" s="23"/>
      <c r="D63" s="23"/>
      <c r="E63" s="23"/>
      <c r="F63" s="23"/>
      <c r="H63" s="23" t="e">
        <f ca="1"/>
        <v>#N/A</v>
      </c>
      <c r="I63" s="23" t="e">
        <f ca="1"/>
        <v>#N/A</v>
      </c>
      <c r="J63" s="23" t="str">
        <f t="shared" ca="1" si="24"/>
        <v/>
      </c>
      <c r="K63" s="23" t="str">
        <f t="shared" ca="1" si="25"/>
        <v/>
      </c>
      <c r="W63" s="22"/>
      <c r="X63" s="22"/>
      <c r="Y63" s="22"/>
      <c r="Z63" s="23" t="str">
        <f t="shared" si="22"/>
        <v/>
      </c>
      <c r="AA63" s="23" t="str">
        <f t="shared" si="23"/>
        <v/>
      </c>
      <c r="AB63" s="23" t="str">
        <f t="shared" si="8"/>
        <v/>
      </c>
      <c r="AC63" s="23" t="str">
        <f t="shared" si="27"/>
        <v/>
      </c>
      <c r="AD63" s="23" t="str">
        <f t="shared" si="28"/>
        <v/>
      </c>
      <c r="AE63" s="23" t="str">
        <f t="shared" si="29"/>
        <v/>
      </c>
      <c r="AF63" s="23" t="str">
        <f t="shared" si="30"/>
        <v/>
      </c>
      <c r="AG63" s="23" t="str">
        <f t="shared" si="31"/>
        <v/>
      </c>
      <c r="AH63" s="23" t="str">
        <f t="shared" si="32"/>
        <v/>
      </c>
      <c r="AI63" s="23" t="str">
        <f t="shared" si="33"/>
        <v/>
      </c>
    </row>
    <row r="64" spans="1:35" x14ac:dyDescent="0.2">
      <c r="A64" s="22"/>
      <c r="B64" s="22"/>
      <c r="C64" s="23"/>
      <c r="D64" s="23"/>
      <c r="E64" s="23"/>
      <c r="F64" s="23"/>
      <c r="H64" s="23" t="e">
        <f ca="1"/>
        <v>#N/A</v>
      </c>
      <c r="I64" s="23" t="e">
        <f ca="1"/>
        <v>#N/A</v>
      </c>
      <c r="J64" s="23" t="str">
        <f t="shared" ca="1" si="24"/>
        <v/>
      </c>
      <c r="K64" s="23" t="str">
        <f t="shared" ca="1" si="25"/>
        <v/>
      </c>
      <c r="W64" s="22"/>
      <c r="X64" s="22"/>
      <c r="Y64" s="22"/>
      <c r="Z64" s="23" t="str">
        <f t="shared" si="22"/>
        <v/>
      </c>
      <c r="AA64" s="23" t="str">
        <f t="shared" si="23"/>
        <v/>
      </c>
      <c r="AB64" s="23" t="str">
        <f t="shared" si="8"/>
        <v/>
      </c>
      <c r="AC64" s="23" t="str">
        <f t="shared" si="27"/>
        <v/>
      </c>
      <c r="AD64" s="23" t="str">
        <f t="shared" si="28"/>
        <v/>
      </c>
      <c r="AE64" s="23" t="str">
        <f t="shared" si="29"/>
        <v/>
      </c>
      <c r="AF64" s="23" t="str">
        <f t="shared" si="30"/>
        <v/>
      </c>
      <c r="AG64" s="23" t="str">
        <f t="shared" si="31"/>
        <v/>
      </c>
      <c r="AH64" s="23" t="str">
        <f t="shared" si="32"/>
        <v/>
      </c>
      <c r="AI64" s="23" t="str">
        <f t="shared" si="33"/>
        <v/>
      </c>
    </row>
    <row r="65" spans="1:35" x14ac:dyDescent="0.2">
      <c r="A65" s="22"/>
      <c r="B65" s="22"/>
      <c r="C65" s="23"/>
      <c r="D65" s="23"/>
      <c r="E65" s="23"/>
      <c r="F65" s="23"/>
      <c r="H65" s="23" t="e">
        <f ca="1"/>
        <v>#N/A</v>
      </c>
      <c r="I65" s="23" t="e">
        <f ca="1"/>
        <v>#N/A</v>
      </c>
      <c r="J65" s="23" t="str">
        <f t="shared" ca="1" si="24"/>
        <v/>
      </c>
      <c r="K65" s="23" t="str">
        <f t="shared" ca="1" si="25"/>
        <v/>
      </c>
      <c r="W65" s="22"/>
      <c r="X65" s="22"/>
      <c r="Y65" s="22"/>
      <c r="Z65" s="23" t="str">
        <f t="shared" si="22"/>
        <v/>
      </c>
      <c r="AA65" s="23" t="str">
        <f t="shared" si="23"/>
        <v/>
      </c>
      <c r="AB65" s="23" t="str">
        <f t="shared" si="8"/>
        <v/>
      </c>
      <c r="AC65" s="23" t="str">
        <f t="shared" si="27"/>
        <v/>
      </c>
      <c r="AD65" s="23" t="str">
        <f t="shared" si="28"/>
        <v/>
      </c>
      <c r="AE65" s="23" t="str">
        <f t="shared" si="29"/>
        <v/>
      </c>
      <c r="AF65" s="23" t="str">
        <f t="shared" si="30"/>
        <v/>
      </c>
      <c r="AG65" s="23" t="str">
        <f t="shared" si="31"/>
        <v/>
      </c>
      <c r="AH65" s="23" t="str">
        <f t="shared" si="32"/>
        <v/>
      </c>
      <c r="AI65" s="23" t="str">
        <f t="shared" si="33"/>
        <v/>
      </c>
    </row>
    <row r="66" spans="1:35" x14ac:dyDescent="0.2">
      <c r="A66" s="22"/>
      <c r="B66" s="22"/>
      <c r="C66" s="23"/>
      <c r="D66" s="23"/>
      <c r="E66" s="23"/>
      <c r="F66" s="23"/>
      <c r="H66" s="23" t="e">
        <f ca="1"/>
        <v>#N/A</v>
      </c>
      <c r="I66" s="23" t="e">
        <f ca="1"/>
        <v>#N/A</v>
      </c>
      <c r="J66" s="23" t="str">
        <f t="shared" ca="1" si="24"/>
        <v/>
      </c>
      <c r="K66" s="23" t="str">
        <f t="shared" ca="1" si="25"/>
        <v/>
      </c>
      <c r="W66" s="22"/>
      <c r="X66" s="22"/>
      <c r="Y66" s="22"/>
      <c r="Z66" s="23" t="str">
        <f t="shared" si="22"/>
        <v/>
      </c>
      <c r="AA66" s="23" t="str">
        <f t="shared" si="23"/>
        <v/>
      </c>
      <c r="AB66" s="23" t="str">
        <f t="shared" si="8"/>
        <v/>
      </c>
      <c r="AC66" s="23" t="str">
        <f t="shared" si="27"/>
        <v/>
      </c>
      <c r="AD66" s="23" t="str">
        <f t="shared" si="28"/>
        <v/>
      </c>
      <c r="AE66" s="23" t="str">
        <f t="shared" si="29"/>
        <v/>
      </c>
      <c r="AF66" s="23" t="str">
        <f t="shared" si="30"/>
        <v/>
      </c>
      <c r="AG66" s="23" t="str">
        <f t="shared" si="31"/>
        <v/>
      </c>
      <c r="AH66" s="23" t="str">
        <f t="shared" si="32"/>
        <v/>
      </c>
      <c r="AI66" s="23" t="str">
        <f t="shared" si="33"/>
        <v/>
      </c>
    </row>
    <row r="67" spans="1:35" x14ac:dyDescent="0.2">
      <c r="A67" s="22"/>
      <c r="B67" s="22"/>
      <c r="C67" s="23"/>
      <c r="D67" s="23"/>
      <c r="E67" s="23"/>
      <c r="F67" s="23"/>
      <c r="H67" s="23" t="e">
        <f ca="1"/>
        <v>#N/A</v>
      </c>
      <c r="I67" s="23" t="e">
        <f ca="1"/>
        <v>#N/A</v>
      </c>
      <c r="J67" s="23" t="str">
        <f t="shared" ref="J67:J72" ca="1" si="34">IF(COUNT(H67),H67*COS($X$6)-I67*SIN($X$6),"")</f>
        <v/>
      </c>
      <c r="K67" s="23" t="str">
        <f t="shared" ref="K67:K72" ca="1" si="35">IF(COUNT(H67),H67*SIN($X$6)+I67*COS($X$6),"")</f>
        <v/>
      </c>
      <c r="W67" s="22"/>
      <c r="X67" s="22"/>
      <c r="Y67" s="22"/>
      <c r="Z67" s="23" t="str">
        <f t="shared" si="22"/>
        <v/>
      </c>
      <c r="AA67" s="23" t="str">
        <f t="shared" si="23"/>
        <v/>
      </c>
      <c r="AB67" s="23" t="str">
        <f t="shared" si="8"/>
        <v/>
      </c>
      <c r="AC67" s="23" t="str">
        <f t="shared" si="27"/>
        <v/>
      </c>
      <c r="AD67" s="23" t="str">
        <f t="shared" si="28"/>
        <v/>
      </c>
      <c r="AE67" s="23" t="str">
        <f t="shared" si="29"/>
        <v/>
      </c>
      <c r="AF67" s="23" t="str">
        <f t="shared" si="30"/>
        <v/>
      </c>
      <c r="AG67" s="23" t="str">
        <f t="shared" si="31"/>
        <v/>
      </c>
      <c r="AH67" s="23" t="str">
        <f t="shared" si="32"/>
        <v/>
      </c>
      <c r="AI67" s="23" t="str">
        <f t="shared" si="33"/>
        <v/>
      </c>
    </row>
    <row r="68" spans="1:35" x14ac:dyDescent="0.2">
      <c r="A68" s="22"/>
      <c r="B68" s="22"/>
      <c r="C68" s="23"/>
      <c r="D68" s="23"/>
      <c r="E68" s="23"/>
      <c r="F68" s="23"/>
      <c r="H68" s="23" t="e">
        <f ca="1"/>
        <v>#N/A</v>
      </c>
      <c r="I68" s="23" t="e">
        <f ca="1"/>
        <v>#N/A</v>
      </c>
      <c r="J68" s="23" t="str">
        <f t="shared" ca="1" si="34"/>
        <v/>
      </c>
      <c r="K68" s="23" t="str">
        <f t="shared" ca="1" si="35"/>
        <v/>
      </c>
      <c r="W68" s="22"/>
      <c r="X68" s="22"/>
      <c r="Y68" s="22"/>
      <c r="Z68" s="23" t="str">
        <f t="shared" si="22"/>
        <v/>
      </c>
      <c r="AA68" s="23" t="str">
        <f t="shared" si="23"/>
        <v/>
      </c>
      <c r="AB68" s="23" t="str">
        <f t="shared" si="8"/>
        <v/>
      </c>
      <c r="AC68" s="23" t="str">
        <f t="shared" si="27"/>
        <v/>
      </c>
      <c r="AD68" s="23" t="str">
        <f t="shared" si="28"/>
        <v/>
      </c>
      <c r="AE68" s="23" t="str">
        <f t="shared" si="29"/>
        <v/>
      </c>
      <c r="AF68" s="23" t="str">
        <f t="shared" si="30"/>
        <v/>
      </c>
      <c r="AG68" s="23" t="str">
        <f t="shared" si="31"/>
        <v/>
      </c>
      <c r="AH68" s="23" t="str">
        <f t="shared" si="32"/>
        <v/>
      </c>
      <c r="AI68" s="23" t="str">
        <f t="shared" si="33"/>
        <v/>
      </c>
    </row>
    <row r="69" spans="1:35" x14ac:dyDescent="0.2">
      <c r="A69" s="22"/>
      <c r="B69" s="22"/>
      <c r="C69" s="23"/>
      <c r="D69" s="23"/>
      <c r="E69" s="23"/>
      <c r="F69" s="23"/>
      <c r="H69" s="23" t="e">
        <f ca="1"/>
        <v>#N/A</v>
      </c>
      <c r="I69" s="23" t="e">
        <f ca="1"/>
        <v>#N/A</v>
      </c>
      <c r="J69" s="23" t="str">
        <f t="shared" ca="1" si="34"/>
        <v/>
      </c>
      <c r="K69" s="23" t="str">
        <f t="shared" ca="1" si="35"/>
        <v/>
      </c>
      <c r="W69" s="22"/>
      <c r="X69" s="22"/>
      <c r="Y69" s="22"/>
      <c r="Z69" s="23" t="str">
        <f t="shared" si="22"/>
        <v/>
      </c>
      <c r="AA69" s="23" t="str">
        <f t="shared" si="23"/>
        <v/>
      </c>
      <c r="AB69" s="23" t="str">
        <f t="shared" si="8"/>
        <v/>
      </c>
      <c r="AC69" s="23" t="str">
        <f t="shared" si="27"/>
        <v/>
      </c>
      <c r="AD69" s="23" t="str">
        <f t="shared" si="28"/>
        <v/>
      </c>
      <c r="AE69" s="23" t="str">
        <f t="shared" si="29"/>
        <v/>
      </c>
      <c r="AF69" s="23" t="str">
        <f t="shared" si="30"/>
        <v/>
      </c>
      <c r="AG69" s="23" t="str">
        <f t="shared" si="31"/>
        <v/>
      </c>
      <c r="AH69" s="23" t="str">
        <f t="shared" si="32"/>
        <v/>
      </c>
      <c r="AI69" s="23" t="str">
        <f t="shared" si="33"/>
        <v/>
      </c>
    </row>
    <row r="70" spans="1:35" x14ac:dyDescent="0.2">
      <c r="A70" s="40"/>
      <c r="B70" s="40"/>
      <c r="C70" s="27"/>
      <c r="D70" s="27"/>
      <c r="E70" s="27"/>
      <c r="F70" s="27"/>
      <c r="H70" s="23" t="e">
        <f ca="1"/>
        <v>#N/A</v>
      </c>
      <c r="I70" s="23" t="e">
        <f ca="1"/>
        <v>#N/A</v>
      </c>
      <c r="J70" s="23" t="str">
        <f t="shared" ca="1" si="34"/>
        <v/>
      </c>
      <c r="K70" s="23" t="str">
        <f t="shared" ca="1" si="35"/>
        <v/>
      </c>
      <c r="W70" s="22"/>
      <c r="X70" s="22"/>
      <c r="Y70" s="22"/>
      <c r="Z70" s="23" t="str">
        <f t="shared" si="22"/>
        <v/>
      </c>
      <c r="AA70" s="23" t="str">
        <f t="shared" si="23"/>
        <v/>
      </c>
      <c r="AB70" s="23" t="str">
        <f t="shared" si="8"/>
        <v/>
      </c>
      <c r="AC70" s="23" t="str">
        <f t="shared" si="27"/>
        <v/>
      </c>
      <c r="AD70" s="23" t="str">
        <f t="shared" si="28"/>
        <v/>
      </c>
      <c r="AE70" s="23" t="str">
        <f t="shared" si="29"/>
        <v/>
      </c>
      <c r="AF70" s="23" t="str">
        <f t="shared" si="30"/>
        <v/>
      </c>
      <c r="AG70" s="23" t="str">
        <f t="shared" si="31"/>
        <v/>
      </c>
      <c r="AH70" s="23" t="str">
        <f t="shared" si="32"/>
        <v/>
      </c>
      <c r="AI70" s="23" t="str">
        <f t="shared" si="33"/>
        <v/>
      </c>
    </row>
    <row r="71" spans="1:35" x14ac:dyDescent="0.2">
      <c r="H71" s="23" t="e">
        <f ca="1"/>
        <v>#N/A</v>
      </c>
      <c r="I71" s="23" t="e">
        <f ca="1"/>
        <v>#N/A</v>
      </c>
      <c r="J71" s="23" t="str">
        <f t="shared" ca="1" si="34"/>
        <v/>
      </c>
      <c r="K71" s="23" t="str">
        <f t="shared" ca="1" si="35"/>
        <v/>
      </c>
      <c r="W71" s="22"/>
      <c r="X71" s="22"/>
      <c r="Y71" s="22"/>
      <c r="Z71" s="23" t="str">
        <f t="shared" si="22"/>
        <v/>
      </c>
      <c r="AA71" s="23" t="str">
        <f t="shared" si="23"/>
        <v/>
      </c>
      <c r="AB71" s="23" t="str">
        <f t="shared" si="8"/>
        <v/>
      </c>
      <c r="AC71" s="23" t="str">
        <f t="shared" si="27"/>
        <v/>
      </c>
      <c r="AD71" s="23" t="str">
        <f t="shared" si="28"/>
        <v/>
      </c>
      <c r="AE71" s="23" t="str">
        <f t="shared" si="29"/>
        <v/>
      </c>
      <c r="AF71" s="23" t="str">
        <f t="shared" si="30"/>
        <v/>
      </c>
      <c r="AG71" s="23" t="str">
        <f t="shared" si="31"/>
        <v/>
      </c>
      <c r="AH71" s="23" t="str">
        <f t="shared" si="32"/>
        <v/>
      </c>
      <c r="AI71" s="23" t="str">
        <f t="shared" si="33"/>
        <v/>
      </c>
    </row>
    <row r="72" spans="1:35" x14ac:dyDescent="0.2">
      <c r="H72" s="27" t="e">
        <f ca="1"/>
        <v>#N/A</v>
      </c>
      <c r="I72" s="27" t="e">
        <f ca="1"/>
        <v>#N/A</v>
      </c>
      <c r="J72" s="27" t="str">
        <f t="shared" ca="1" si="34"/>
        <v/>
      </c>
      <c r="K72" s="27" t="str">
        <f t="shared" ca="1" si="35"/>
        <v/>
      </c>
      <c r="W72" s="40"/>
      <c r="X72" s="40"/>
      <c r="Y72" s="40"/>
      <c r="Z72" s="27" t="str">
        <f t="shared" si="22"/>
        <v/>
      </c>
      <c r="AA72" s="27" t="str">
        <f t="shared" si="23"/>
        <v/>
      </c>
      <c r="AB72" s="27" t="str">
        <f t="shared" si="8"/>
        <v/>
      </c>
      <c r="AC72" s="27" t="str">
        <f t="shared" si="27"/>
        <v/>
      </c>
      <c r="AD72" s="27" t="str">
        <f t="shared" si="28"/>
        <v/>
      </c>
      <c r="AE72" s="27" t="str">
        <f t="shared" si="29"/>
        <v/>
      </c>
      <c r="AF72" s="27" t="str">
        <f t="shared" si="30"/>
        <v/>
      </c>
      <c r="AG72" s="27" t="str">
        <f t="shared" si="31"/>
        <v/>
      </c>
      <c r="AH72" s="27" t="str">
        <f t="shared" si="32"/>
        <v/>
      </c>
      <c r="AI72" s="27" t="str">
        <f t="shared" si="33"/>
        <v/>
      </c>
    </row>
  </sheetData>
  <conditionalFormatting sqref="H45:I72">
    <cfRule type="containsErrors" dxfId="22" priority="1">
      <formula>ISERROR(H45)</formula>
    </cfRule>
  </conditionalFormatting>
  <printOptions horizontalCentered="1" verticalCentered="1"/>
  <pageMargins left="0.59055118110236227" right="0.59055118110236227" top="0.59055118110236227" bottom="0.59055118110236227" header="0.39370078740157483" footer="0.3937007874015748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8</xdr:col>
                <xdr:colOff>95250</xdr:colOff>
                <xdr:row>17</xdr:row>
                <xdr:rowOff>9525</xdr:rowOff>
              </from>
              <to>
                <xdr:col>10</xdr:col>
                <xdr:colOff>304800</xdr:colOff>
                <xdr:row>18</xdr:row>
                <xdr:rowOff>123825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Line="0" r:id="rId7">
            <anchor moveWithCells="1">
              <from>
                <xdr:col>13</xdr:col>
                <xdr:colOff>123825</xdr:colOff>
                <xdr:row>11</xdr:row>
                <xdr:rowOff>152400</xdr:rowOff>
              </from>
              <to>
                <xdr:col>15</xdr:col>
                <xdr:colOff>323850</xdr:colOff>
                <xdr:row>13</xdr:row>
                <xdr:rowOff>133350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99E5D-7BD7-4453-8CEF-58641F1F6D16}">
  <sheetPr codeName="Sheet5"/>
  <dimension ref="A1:AS72"/>
  <sheetViews>
    <sheetView zoomScale="85" zoomScaleNormal="85" workbookViewId="0">
      <selection activeCell="M14" sqref="M14"/>
    </sheetView>
  </sheetViews>
  <sheetFormatPr defaultColWidth="5.7109375" defaultRowHeight="12.75" x14ac:dyDescent="0.2"/>
  <cols>
    <col min="1" max="19" width="6.5703125" style="2" customWidth="1"/>
    <col min="20" max="20" width="9.42578125" style="2" bestFit="1" customWidth="1"/>
    <col min="21" max="22" width="6.5703125" style="2" customWidth="1"/>
    <col min="23" max="23" width="6.7109375" style="2" bestFit="1" customWidth="1"/>
    <col min="24" max="24" width="6.28515625" style="2" customWidth="1"/>
    <col min="25" max="25" width="5.85546875" style="2" bestFit="1" customWidth="1"/>
    <col min="26" max="26" width="6.7109375" style="2" bestFit="1" customWidth="1"/>
    <col min="27" max="27" width="6.5703125" style="2" customWidth="1"/>
    <col min="28" max="39" width="5.85546875" style="2" bestFit="1" customWidth="1"/>
    <col min="40" max="40" width="5.7109375" style="2"/>
    <col min="41" max="44" width="5.85546875" style="2" bestFit="1" customWidth="1"/>
    <col min="45" max="16384" width="5.7109375" style="2"/>
  </cols>
  <sheetData>
    <row r="1" spans="1:44" x14ac:dyDescent="0.2">
      <c r="A1" s="58" t="s">
        <v>24</v>
      </c>
      <c r="B1" s="59"/>
      <c r="C1" s="59"/>
      <c r="D1" s="59"/>
      <c r="E1" s="59"/>
      <c r="F1" s="59"/>
      <c r="G1" s="59"/>
      <c r="H1" s="1"/>
      <c r="I1" s="60" t="s">
        <v>25</v>
      </c>
      <c r="J1" s="59"/>
      <c r="K1" s="59"/>
      <c r="L1" s="59"/>
      <c r="M1" s="59"/>
      <c r="N1" s="59"/>
      <c r="O1" s="59"/>
      <c r="P1" s="59"/>
      <c r="Q1" s="59"/>
      <c r="R1" s="59"/>
      <c r="S1" s="30"/>
      <c r="W1" s="3" t="s">
        <v>5</v>
      </c>
      <c r="X1" s="4">
        <v>0.85</v>
      </c>
      <c r="Z1" s="3" t="s">
        <v>26</v>
      </c>
      <c r="AA1" s="5">
        <f ca="1">MAX(OFFSET(AD45,0,0,COUNT($AD$45:$AD$72)))</f>
        <v>75.047755409761351</v>
      </c>
      <c r="AC1" s="6" t="s">
        <v>13</v>
      </c>
      <c r="AD1" s="7">
        <f>MIN(Q3:Q42)</f>
        <v>0</v>
      </c>
      <c r="AI1" s="6" t="s">
        <v>13</v>
      </c>
      <c r="AJ1" s="7">
        <f>MAX(Q3:Q42)</f>
        <v>0</v>
      </c>
    </row>
    <row r="2" spans="1:44" x14ac:dyDescent="0.2">
      <c r="A2" s="8" t="s">
        <v>126</v>
      </c>
      <c r="B2" s="9"/>
      <c r="C2" s="9"/>
      <c r="D2" s="9"/>
      <c r="E2" s="9"/>
      <c r="F2" s="9"/>
      <c r="G2" s="9"/>
      <c r="H2" s="9"/>
      <c r="I2" s="8" t="s">
        <v>123</v>
      </c>
      <c r="J2" s="9"/>
      <c r="K2" s="9"/>
      <c r="L2" s="9"/>
      <c r="M2" s="9"/>
      <c r="N2" s="9"/>
      <c r="O2" s="9"/>
      <c r="P2" s="10"/>
      <c r="Q2" s="6" t="s">
        <v>13</v>
      </c>
      <c r="R2" s="6" t="s">
        <v>19</v>
      </c>
      <c r="S2" s="6" t="s">
        <v>20</v>
      </c>
      <c r="T2" s="6" t="s">
        <v>22</v>
      </c>
      <c r="U2" s="6" t="s">
        <v>32</v>
      </c>
      <c r="W2" s="3" t="s">
        <v>33</v>
      </c>
      <c r="X2" s="4">
        <v>0.65</v>
      </c>
      <c r="Z2" s="3" t="s">
        <v>34</v>
      </c>
      <c r="AA2" s="5">
        <f ca="1">AA1/(1-X4/X5)</f>
        <v>28.142908278660503</v>
      </c>
      <c r="AC2" s="6" t="s">
        <v>18</v>
      </c>
      <c r="AD2" s="6" t="s">
        <v>35</v>
      </c>
      <c r="AE2" s="6" t="s">
        <v>13</v>
      </c>
      <c r="AF2" s="6" t="s">
        <v>19</v>
      </c>
      <c r="AG2" s="6" t="s">
        <v>20</v>
      </c>
      <c r="AI2" s="6" t="s">
        <v>18</v>
      </c>
      <c r="AJ2" s="6" t="s">
        <v>35</v>
      </c>
      <c r="AK2" s="6" t="s">
        <v>13</v>
      </c>
      <c r="AL2" s="6" t="s">
        <v>19</v>
      </c>
      <c r="AM2" s="6" t="s">
        <v>20</v>
      </c>
      <c r="AO2" s="6" t="s">
        <v>13</v>
      </c>
      <c r="AP2" s="6" t="s">
        <v>19</v>
      </c>
      <c r="AQ2" s="6" t="s">
        <v>20</v>
      </c>
      <c r="AR2" s="6" t="s">
        <v>32</v>
      </c>
    </row>
    <row r="3" spans="1:44" x14ac:dyDescent="0.2">
      <c r="A3" s="11" t="s">
        <v>3</v>
      </c>
      <c r="B3" s="12">
        <v>0.28000000000000003</v>
      </c>
      <c r="C3" s="13"/>
      <c r="D3" s="13"/>
      <c r="E3" s="13"/>
      <c r="F3" s="13"/>
      <c r="G3" s="13"/>
      <c r="H3" s="13"/>
      <c r="I3" s="6" t="s">
        <v>27</v>
      </c>
      <c r="J3" s="6" t="s">
        <v>29</v>
      </c>
      <c r="K3" s="6" t="s">
        <v>28</v>
      </c>
      <c r="L3" s="6" t="s">
        <v>30</v>
      </c>
      <c r="M3" s="6" t="s">
        <v>31</v>
      </c>
      <c r="N3" s="13"/>
      <c r="O3" s="13"/>
      <c r="P3" s="14"/>
      <c r="Q3" s="17"/>
      <c r="R3" s="17"/>
      <c r="S3" s="17"/>
      <c r="T3" s="17"/>
      <c r="U3" s="18">
        <f t="shared" ref="U3:U6" si="0">S3*COS($X$6)+R3*SIN($X$6)</f>
        <v>0</v>
      </c>
      <c r="W3" s="3" t="s">
        <v>36</v>
      </c>
      <c r="X3" s="4">
        <v>0.9</v>
      </c>
      <c r="Z3" s="3" t="s">
        <v>37</v>
      </c>
      <c r="AA3" s="5">
        <f ca="1">AA1/(1-X7/X5)</f>
        <v>45.028654063812446</v>
      </c>
      <c r="AC3" s="18">
        <v>0</v>
      </c>
      <c r="AD3" s="18">
        <f t="shared" ref="AD3:AD38" si="1">XCOMPRESSRN($B$4,$B$5,$B$6,$B$14,$B$15,$B$16,$B$17,$B$10,$B$11,$B$12,$B$7,AC3,$AD$1,$B$3,$B$13)</f>
        <v>8.91998291015625</v>
      </c>
      <c r="AE3" s="18">
        <f t="array" ref="AE3:AG3">FLEXCOMPBIAXRN($B$4,$B$5,$B$6,$B$14,$B$15,$B$16,$B$17,$B$10,$B$11,$B$12,$B$7,AC3,AD3,$B$3,$B$13)</f>
        <v>-7.9004909446922511E-3</v>
      </c>
      <c r="AF3" s="18">
        <v>-5.6843418860808015E-14</v>
      </c>
      <c r="AG3" s="18">
        <v>2966.8839118573705</v>
      </c>
      <c r="AI3" s="18">
        <v>0</v>
      </c>
      <c r="AJ3" s="18">
        <f t="shared" ref="AJ3:AJ39" si="2">XCOMPRESSRN($B$4,$B$5,$B$6,$B$14,$B$15,$B$16,$B$17,$B$10,$B$11,$B$12,$B$7,AI3,$AJ$1,$B$3,$B$13)</f>
        <v>8.91998291015625</v>
      </c>
      <c r="AK3" s="18">
        <f t="array" ref="AK3:AM3">FLEXCOMPBIAXRN($B$4,$B$5,$B$6,$B$14,$B$15,$B$16,$B$17,$B$10,$B$11,$B$12,$B$7,AI3,AJ3,$B$3,$B$13)</f>
        <v>-7.9004909446922511E-3</v>
      </c>
      <c r="AL3" s="18">
        <v>-5.6843418860808015E-14</v>
      </c>
      <c r="AM3" s="18">
        <v>2966.8839118573705</v>
      </c>
      <c r="AO3" s="18">
        <f t="array" ref="AO3:AQ16">DIAGRAFLEXCOMPRN(B4,B5,B6,B14,B15,B16,B17,B10,B11,B12,B7,B8,B3,B13)</f>
        <v>121.60224963869997</v>
      </c>
      <c r="AP3" s="18">
        <v>-9.7769552938715726E-14</v>
      </c>
      <c r="AQ3" s="18">
        <v>1.0531067169678895E-13</v>
      </c>
      <c r="AR3" s="18">
        <f>AQ3*COS($X$6)+AP3*SIN($X$6)</f>
        <v>2.1316282072803006E-14</v>
      </c>
    </row>
    <row r="4" spans="1:44" x14ac:dyDescent="0.2">
      <c r="A4" s="11" t="s">
        <v>0</v>
      </c>
      <c r="B4" s="12">
        <v>0.20999999344348907</v>
      </c>
      <c r="C4" s="13"/>
      <c r="D4" s="13"/>
      <c r="E4" s="13"/>
      <c r="F4" s="13"/>
      <c r="G4" s="13"/>
      <c r="H4" s="13"/>
      <c r="I4" s="19">
        <f t="array" ref="I4:K4">FLEXCOMPBIAXRN($B$4,$B$5,$B$6,$B$14,$B$15,$B$16,$B$17,$B$10,$B$11,$B$12,$B$7,$B$8,$B$9,$B$3,$B$13)</f>
        <v>-128.59279121494842</v>
      </c>
      <c r="J4" s="19">
        <v>2541.4308003989804</v>
      </c>
      <c r="K4" s="19">
        <v>3250.4799659290129</v>
      </c>
      <c r="L4" s="7">
        <f>K4*COS($X$6)+J4*SIN($X$6)</f>
        <v>4125.8664648806243</v>
      </c>
      <c r="M4" s="7">
        <f>SQRT(I4^2+J4^2+K4^2)</f>
        <v>4128.0778369690324</v>
      </c>
      <c r="N4" s="13"/>
      <c r="O4" s="13"/>
      <c r="P4" s="14"/>
      <c r="Q4" s="22"/>
      <c r="R4" s="22"/>
      <c r="S4" s="22"/>
      <c r="T4" s="22"/>
      <c r="U4" s="23">
        <f t="shared" si="0"/>
        <v>0</v>
      </c>
      <c r="W4" s="3" t="s">
        <v>7</v>
      </c>
      <c r="X4" s="4">
        <v>5</v>
      </c>
      <c r="Z4" s="3" t="s">
        <v>39</v>
      </c>
      <c r="AA4" s="5">
        <f ca="1">IF(B9&lt;AA2,X4/(B9-AA1),X5/B9)</f>
        <v>-7.798317471786062E-2</v>
      </c>
      <c r="AC4" s="23">
        <v>10</v>
      </c>
      <c r="AD4" s="23">
        <f t="shared" si="1"/>
        <v>14.501557562416863</v>
      </c>
      <c r="AE4" s="23">
        <f t="array" ref="AE4:AG4">FLEXCOMPBIAXRN($B$4,$B$5,$B$6,$B$14,$B$15,$B$16,$B$17,$B$10,$B$11,$B$12,$B$7,AC4,AD4,$B$3,$B$13)</f>
        <v>1.0353971036010989E-2</v>
      </c>
      <c r="AF4" s="23">
        <v>696.07117402116012</v>
      </c>
      <c r="AG4" s="23">
        <v>2886.5874684322953</v>
      </c>
      <c r="AI4" s="23">
        <v>10</v>
      </c>
      <c r="AJ4" s="23">
        <f t="shared" si="2"/>
        <v>14.501557562416863</v>
      </c>
      <c r="AK4" s="23">
        <f t="array" ref="AK4:AM4">FLEXCOMPBIAXRN($B$4,$B$5,$B$6,$B$14,$B$15,$B$16,$B$17,$B$10,$B$11,$B$12,$B$7,AI4,AJ4,$B$3,$B$13)</f>
        <v>1.0353971036010989E-2</v>
      </c>
      <c r="AL4" s="23">
        <v>696.07117402116012</v>
      </c>
      <c r="AM4" s="23">
        <v>2886.5874684322953</v>
      </c>
      <c r="AO4" s="23">
        <v>107.83233307459957</v>
      </c>
      <c r="AP4" s="23">
        <v>245.97884785751558</v>
      </c>
      <c r="AQ4" s="23">
        <v>273.31353507627796</v>
      </c>
      <c r="AR4" s="23">
        <f t="shared" ref="AR4:AR30" si="3">AQ4*COS($X$6)+AP4*SIN($X$6)</f>
        <v>367.05973732405937</v>
      </c>
    </row>
    <row r="5" spans="1:44" x14ac:dyDescent="0.2">
      <c r="A5" s="11" t="s">
        <v>1</v>
      </c>
      <c r="B5" s="12">
        <v>4.1999998092651367</v>
      </c>
      <c r="C5" s="13"/>
      <c r="D5" s="13"/>
      <c r="E5" s="13"/>
      <c r="F5" s="13"/>
      <c r="G5" s="13"/>
      <c r="H5" s="13"/>
      <c r="I5" s="7">
        <f>I4/M4</f>
        <v>-3.1150767086641318E-2</v>
      </c>
      <c r="J5" s="7">
        <f>J4/M4</f>
        <v>0.61564507762890941</v>
      </c>
      <c r="K5" s="7">
        <f>K4/M4</f>
        <v>0.78740762512259699</v>
      </c>
      <c r="L5" s="13"/>
      <c r="M5" s="13"/>
      <c r="N5" s="13"/>
      <c r="O5" s="13"/>
      <c r="P5" s="14"/>
      <c r="Q5" s="22"/>
      <c r="R5" s="22"/>
      <c r="S5" s="22"/>
      <c r="T5" s="22"/>
      <c r="U5" s="23">
        <f t="shared" si="0"/>
        <v>0</v>
      </c>
      <c r="W5" s="3" t="s">
        <v>8</v>
      </c>
      <c r="X5" s="4">
        <v>-3</v>
      </c>
      <c r="Z5" s="3" t="s">
        <v>40</v>
      </c>
      <c r="AA5" s="5">
        <f ca="1">MAX(OFFSET(AE45,0,0,COUNT($AE$45:$AE$72)))</f>
        <v>2.8524622223026888</v>
      </c>
      <c r="AC5" s="23">
        <v>20</v>
      </c>
      <c r="AD5" s="23">
        <f t="shared" si="1"/>
        <v>19.233905563250303</v>
      </c>
      <c r="AE5" s="23">
        <f t="array" ref="AE5:AG5">FLEXCOMPBIAXRN($B$4,$B$5,$B$6,$B$14,$B$15,$B$16,$B$17,$B$10,$B$11,$B$12,$B$7,AC5,AD5,$B$3,$B$13)</f>
        <v>-2.4572600502267505E-2</v>
      </c>
      <c r="AF5" s="23">
        <v>1330.2356965464166</v>
      </c>
      <c r="AG5" s="23">
        <v>2719.4814311520686</v>
      </c>
      <c r="AI5" s="23">
        <v>20</v>
      </c>
      <c r="AJ5" s="23">
        <f t="shared" si="2"/>
        <v>19.233905563250303</v>
      </c>
      <c r="AK5" s="23">
        <f t="array" ref="AK5:AM5">FLEXCOMPBIAXRN($B$4,$B$5,$B$6,$B$14,$B$15,$B$16,$B$17,$B$10,$B$11,$B$12,$B$7,AI5,AJ5,$B$3,$B$13)</f>
        <v>-2.4572600502267505E-2</v>
      </c>
      <c r="AL5" s="23">
        <v>1330.2356965464166</v>
      </c>
      <c r="AM5" s="23">
        <v>2719.4814311520686</v>
      </c>
      <c r="AO5" s="23">
        <v>65.436628198701342</v>
      </c>
      <c r="AP5" s="23">
        <v>1053.2922940467101</v>
      </c>
      <c r="AQ5" s="23">
        <v>1177.8935302668267</v>
      </c>
      <c r="AR5" s="23">
        <f t="shared" si="3"/>
        <v>1577.6690968730904</v>
      </c>
    </row>
    <row r="6" spans="1:44" x14ac:dyDescent="0.2">
      <c r="A6" s="11" t="s">
        <v>2</v>
      </c>
      <c r="B6" s="12">
        <v>2100</v>
      </c>
      <c r="C6" s="13"/>
      <c r="D6" s="13"/>
      <c r="E6" s="13"/>
      <c r="F6" s="13"/>
      <c r="G6" s="13"/>
      <c r="H6" s="13"/>
      <c r="I6" s="24"/>
      <c r="J6" s="13"/>
      <c r="K6" s="13"/>
      <c r="L6" s="13"/>
      <c r="M6" s="13"/>
      <c r="N6" s="13"/>
      <c r="O6" s="13"/>
      <c r="P6" s="14"/>
      <c r="Q6" s="22"/>
      <c r="R6" s="22"/>
      <c r="S6" s="22"/>
      <c r="T6" s="22"/>
      <c r="U6" s="23">
        <f t="shared" si="0"/>
        <v>0</v>
      </c>
      <c r="W6" s="3" t="s">
        <v>43</v>
      </c>
      <c r="X6" s="5">
        <f>RADIANS(B8)</f>
        <v>0.67362485508100989</v>
      </c>
      <c r="Z6" s="3" t="s">
        <v>44</v>
      </c>
      <c r="AA6" s="5">
        <f ca="1">IF(AA5&lt;X7,X2,IF(AA5&gt;X4,X3,X2+(X3-X2)*(AA5-X7)/(X4-X7)))</f>
        <v>0.72103852394334988</v>
      </c>
      <c r="AC6" s="23">
        <v>30</v>
      </c>
      <c r="AD6" s="23">
        <f t="shared" si="1"/>
        <v>22.262528881317252</v>
      </c>
      <c r="AE6" s="23">
        <f t="array" ref="AE6:AG6">FLEXCOMPBIAXRN($B$4,$B$5,$B$6,$B$14,$B$15,$B$16,$B$17,$B$10,$B$11,$B$12,$B$7,AC6,AD6,$B$3,$B$13)</f>
        <v>1.5111705863347424E-2</v>
      </c>
      <c r="AF6" s="23">
        <v>1748.8680811168981</v>
      </c>
      <c r="AG6" s="23">
        <v>2539.7888418670832</v>
      </c>
      <c r="AI6" s="23">
        <v>30</v>
      </c>
      <c r="AJ6" s="23">
        <f t="shared" si="2"/>
        <v>22.262528881317252</v>
      </c>
      <c r="AK6" s="23">
        <f t="array" ref="AK6:AM6">FLEXCOMPBIAXRN($B$4,$B$5,$B$6,$B$14,$B$15,$B$16,$B$17,$B$10,$B$11,$B$12,$B$7,AI6,AJ6,$B$3,$B$13)</f>
        <v>1.5111705863347424E-2</v>
      </c>
      <c r="AL6" s="23">
        <v>1748.8680811168981</v>
      </c>
      <c r="AM6" s="23">
        <v>2539.7888418670832</v>
      </c>
      <c r="AO6" s="23">
        <v>20.111737442928856</v>
      </c>
      <c r="AP6" s="23">
        <v>1745.8481860151369</v>
      </c>
      <c r="AQ6" s="23">
        <v>2020.6116744754704</v>
      </c>
      <c r="AR6" s="23">
        <f t="shared" si="3"/>
        <v>2668.3409477057462</v>
      </c>
    </row>
    <row r="7" spans="1:44" x14ac:dyDescent="0.2">
      <c r="A7" s="11" t="s">
        <v>109</v>
      </c>
      <c r="B7" s="12">
        <v>5</v>
      </c>
      <c r="C7" s="13"/>
      <c r="D7" s="13"/>
      <c r="E7" s="13"/>
      <c r="F7" s="13"/>
      <c r="G7" s="13"/>
      <c r="H7" s="13"/>
      <c r="I7" s="25" t="s">
        <v>124</v>
      </c>
      <c r="J7" s="13"/>
      <c r="K7" s="13"/>
      <c r="L7" s="13"/>
      <c r="M7" s="13"/>
      <c r="N7" s="13"/>
      <c r="O7" s="13"/>
      <c r="P7" s="14"/>
      <c r="Q7" s="22"/>
      <c r="R7" s="22"/>
      <c r="S7" s="22"/>
      <c r="T7" s="22"/>
      <c r="U7" s="23">
        <f>S7*COS($X$6)+R7*SIN($X$6)</f>
        <v>0</v>
      </c>
      <c r="W7" s="3" t="s">
        <v>45</v>
      </c>
      <c r="X7" s="5">
        <f>B5/B6*1000</f>
        <v>1.9999999091738747</v>
      </c>
      <c r="Z7" s="3" t="s">
        <v>46</v>
      </c>
      <c r="AA7" s="5">
        <f ca="1">SUM(OFFSET(AG45,0,0,COUNT($AG$45:$AG$72)))</f>
        <v>17.387256885542808</v>
      </c>
      <c r="AC7" s="23">
        <v>40</v>
      </c>
      <c r="AD7" s="23">
        <f t="shared" si="1"/>
        <v>23.772751066826011</v>
      </c>
      <c r="AE7" s="23">
        <f t="array" ref="AE7:AG7">FLEXCOMPBIAXRN($B$4,$B$5,$B$6,$B$14,$B$15,$B$16,$B$17,$B$10,$B$11,$B$12,$B$7,AC7,AD7,$B$3,$B$13)</f>
        <v>3.121264760150666E-2</v>
      </c>
      <c r="AF7" s="23">
        <v>2050.347042323388</v>
      </c>
      <c r="AG7" s="23">
        <v>2335.8477699281812</v>
      </c>
      <c r="AI7" s="23">
        <v>40</v>
      </c>
      <c r="AJ7" s="23">
        <f t="shared" si="2"/>
        <v>23.772751066826011</v>
      </c>
      <c r="AK7" s="23">
        <f t="array" ref="AK7:AM7">FLEXCOMPBIAXRN($B$4,$B$5,$B$6,$B$14,$B$15,$B$16,$B$17,$B$10,$B$11,$B$12,$B$7,AI7,AJ7,$B$3,$B$13)</f>
        <v>3.121264760150666E-2</v>
      </c>
      <c r="AL7" s="23">
        <v>2050.347042323388</v>
      </c>
      <c r="AM7" s="23">
        <v>2335.8477699281812</v>
      </c>
      <c r="AO7" s="23">
        <v>-41.917535384971529</v>
      </c>
      <c r="AP7" s="23">
        <v>2509.2056006236598</v>
      </c>
      <c r="AQ7" s="23">
        <v>3007.2738478095371</v>
      </c>
      <c r="AR7" s="23">
        <f t="shared" si="3"/>
        <v>3915.6821192114207</v>
      </c>
    </row>
    <row r="8" spans="1:44" x14ac:dyDescent="0.2">
      <c r="A8" s="11" t="s">
        <v>18</v>
      </c>
      <c r="B8" s="12">
        <v>38.595861171253574</v>
      </c>
      <c r="C8" s="13"/>
      <c r="D8" s="13"/>
      <c r="E8" s="13"/>
      <c r="F8" s="13"/>
      <c r="G8" s="13"/>
      <c r="H8" s="13"/>
      <c r="I8" s="6" t="s">
        <v>41</v>
      </c>
      <c r="J8" s="6" t="s">
        <v>15</v>
      </c>
      <c r="K8" s="6" t="s">
        <v>14</v>
      </c>
      <c r="L8" s="6" t="s">
        <v>122</v>
      </c>
      <c r="M8" s="6" t="s">
        <v>42</v>
      </c>
      <c r="N8" s="13"/>
      <c r="O8" s="13"/>
      <c r="P8" s="14"/>
      <c r="Q8" s="22"/>
      <c r="R8" s="22"/>
      <c r="S8" s="22"/>
      <c r="T8" s="22"/>
      <c r="U8" s="23">
        <f t="shared" ref="U8:U42" si="4">S8*COS($X$6)+R8*SIN($X$6)</f>
        <v>0</v>
      </c>
      <c r="W8" s="3" t="s">
        <v>6</v>
      </c>
      <c r="X8" s="5">
        <f>-X1*B4</f>
        <v>-0.17849999442696571</v>
      </c>
      <c r="Z8" s="3" t="s">
        <v>47</v>
      </c>
      <c r="AA8" s="5">
        <f ca="1">SUM(OFFSET(AH45,0,0,COUNT($AH$45:$AH$72)))</f>
        <v>-1736.6227360506855</v>
      </c>
      <c r="AC8" s="23">
        <v>50</v>
      </c>
      <c r="AD8" s="23">
        <f t="shared" si="1"/>
        <v>23.772751066826011</v>
      </c>
      <c r="AE8" s="23">
        <f t="array" ref="AE8:AG8">FLEXCOMPBIAXRN($B$4,$B$5,$B$6,$B$14,$B$15,$B$16,$B$17,$B$10,$B$11,$B$12,$B$7,AC8,AD8,$B$3,$B$13)</f>
        <v>3.1212647601520871E-2</v>
      </c>
      <c r="AF8" s="23">
        <v>2335.8477699281807</v>
      </c>
      <c r="AG8" s="23">
        <v>2050.3470423233875</v>
      </c>
      <c r="AI8" s="23">
        <v>50</v>
      </c>
      <c r="AJ8" s="23">
        <f t="shared" si="2"/>
        <v>23.772751066826011</v>
      </c>
      <c r="AK8" s="23">
        <f t="array" ref="AK8:AM8">FLEXCOMPBIAXRN($B$4,$B$5,$B$6,$B$14,$B$15,$B$16,$B$17,$B$10,$B$11,$B$12,$B$7,AI8,AJ8,$B$3,$B$13)</f>
        <v>3.1212647601520871E-2</v>
      </c>
      <c r="AL8" s="23">
        <v>2335.8477699281807</v>
      </c>
      <c r="AM8" s="23">
        <v>2050.3470423233875</v>
      </c>
      <c r="AO8" s="23">
        <v>-87.018718309160846</v>
      </c>
      <c r="AP8" s="23">
        <v>2576.383752490081</v>
      </c>
      <c r="AQ8" s="23">
        <v>3188.9393666489445</v>
      </c>
      <c r="AR8" s="23">
        <f t="shared" si="3"/>
        <v>4099.572913714489</v>
      </c>
    </row>
    <row r="9" spans="1:44" x14ac:dyDescent="0.2">
      <c r="A9" s="11" t="s">
        <v>35</v>
      </c>
      <c r="B9" s="12">
        <v>38.469836741756872</v>
      </c>
      <c r="C9" s="13"/>
      <c r="D9" s="13"/>
      <c r="E9" s="13"/>
      <c r="F9" s="13"/>
      <c r="G9" s="13"/>
      <c r="H9" s="13"/>
      <c r="I9" s="26">
        <v>-91</v>
      </c>
      <c r="J9" s="26">
        <v>1800</v>
      </c>
      <c r="K9" s="26">
        <v>2300</v>
      </c>
      <c r="L9" s="7">
        <f t="shared" ref="L9" si="5">J9*COS($X$6)+K9*SIN($X$6)</f>
        <v>2841.6111910644104</v>
      </c>
      <c r="M9" s="7">
        <f>SQRT(I9^2+J9^2+K9^2)</f>
        <v>2922.0337095933714</v>
      </c>
      <c r="N9" s="13"/>
      <c r="O9" s="13"/>
      <c r="P9" s="14"/>
      <c r="Q9" s="22"/>
      <c r="R9" s="22"/>
      <c r="S9" s="22"/>
      <c r="T9" s="22"/>
      <c r="U9" s="23">
        <f t="shared" si="4"/>
        <v>0</v>
      </c>
      <c r="W9" s="3" t="s">
        <v>48</v>
      </c>
      <c r="X9" s="5">
        <f t="array" ref="X9:X11">MOMENTSPOLY(A45:B49)</f>
        <v>3600</v>
      </c>
      <c r="Z9" s="3" t="s">
        <v>49</v>
      </c>
      <c r="AA9" s="5">
        <f ca="1">SUM(OFFSET(AI45,0,0,COUNT($AI$45:$AI$72)))</f>
        <v>-13.657548505402445</v>
      </c>
      <c r="AC9" s="23">
        <v>60</v>
      </c>
      <c r="AD9" s="23">
        <f t="shared" si="1"/>
        <v>22.262528881317252</v>
      </c>
      <c r="AE9" s="23">
        <f t="array" ref="AE9:AG9">FLEXCOMPBIAXRN($B$4,$B$5,$B$6,$B$14,$B$15,$B$16,$B$17,$B$10,$B$11,$B$12,$B$7,AC9,AD9,$B$3,$B$13)</f>
        <v>1.5111705863361635E-2</v>
      </c>
      <c r="AF9" s="23">
        <v>2539.7888418670823</v>
      </c>
      <c r="AG9" s="23">
        <v>1748.8680811168983</v>
      </c>
      <c r="AI9" s="23">
        <v>60</v>
      </c>
      <c r="AJ9" s="23">
        <f t="shared" si="2"/>
        <v>22.262528881317252</v>
      </c>
      <c r="AK9" s="23">
        <f t="array" ref="AK9:AM9">FLEXCOMPBIAXRN($B$4,$B$5,$B$6,$B$14,$B$15,$B$16,$B$17,$B$10,$B$11,$B$12,$B$7,AI9,AJ9,$B$3,$B$13)</f>
        <v>1.5111705863361635E-2</v>
      </c>
      <c r="AL9" s="23">
        <v>2539.7888418670823</v>
      </c>
      <c r="AM9" s="23">
        <v>1748.8680811168983</v>
      </c>
      <c r="AO9" s="23">
        <v>-148.1235902137276</v>
      </c>
      <c r="AP9" s="23">
        <v>2479.3774989465351</v>
      </c>
      <c r="AQ9" s="23">
        <v>3249.2211185095161</v>
      </c>
      <c r="AR9" s="23">
        <f t="shared" si="3"/>
        <v>4086.1723076983167</v>
      </c>
    </row>
    <row r="10" spans="1:44" x14ac:dyDescent="0.2">
      <c r="A10" s="11" t="s">
        <v>9</v>
      </c>
      <c r="B10" s="12">
        <v>1.6</v>
      </c>
      <c r="C10" s="13"/>
      <c r="D10" s="13"/>
      <c r="E10" s="13"/>
      <c r="F10" s="13"/>
      <c r="G10" s="13"/>
      <c r="H10" s="13"/>
      <c r="I10" s="27">
        <f>I9/M9</f>
        <v>-3.1142693426580458E-2</v>
      </c>
      <c r="J10" s="27">
        <f>J9/M9</f>
        <v>0.61600932052576729</v>
      </c>
      <c r="K10" s="27">
        <f>K9/M9</f>
        <v>0.78712302067181372</v>
      </c>
      <c r="L10" s="13"/>
      <c r="M10" s="13"/>
      <c r="N10" s="13"/>
      <c r="O10" s="13"/>
      <c r="P10" s="14"/>
      <c r="Q10" s="22"/>
      <c r="R10" s="22"/>
      <c r="S10" s="22"/>
      <c r="T10" s="22"/>
      <c r="U10" s="23">
        <f t="shared" si="4"/>
        <v>0</v>
      </c>
      <c r="W10" s="3" t="s">
        <v>50</v>
      </c>
      <c r="X10" s="5">
        <v>108000</v>
      </c>
      <c r="Z10" s="3" t="s">
        <v>51</v>
      </c>
      <c r="AA10" s="5">
        <f ca="1">0.8*X2*(X8*(X9-X12)-B5*X12)</f>
        <v>-401.42505629724667</v>
      </c>
      <c r="AC10" s="23">
        <v>70</v>
      </c>
      <c r="AD10" s="23">
        <f t="shared" si="1"/>
        <v>19.233905563250303</v>
      </c>
      <c r="AE10" s="23">
        <f t="array" ref="AE10:AG10">FLEXCOMPBIAXRN($B$4,$B$5,$B$6,$B$14,$B$15,$B$16,$B$17,$B$10,$B$11,$B$12,$B$7,AC10,AD10,$B$3,$B$13)</f>
        <v>-2.4572600502267505E-2</v>
      </c>
      <c r="AF10" s="23">
        <v>2719.4814311520677</v>
      </c>
      <c r="AG10" s="23">
        <v>1330.2356965464169</v>
      </c>
      <c r="AI10" s="23">
        <v>70</v>
      </c>
      <c r="AJ10" s="23">
        <f t="shared" si="2"/>
        <v>19.233905563250303</v>
      </c>
      <c r="AK10" s="23">
        <f t="array" ref="AK10:AM10">FLEXCOMPBIAXRN($B$4,$B$5,$B$6,$B$14,$B$15,$B$16,$B$17,$B$10,$B$11,$B$12,$B$7,AI10,AJ10,$B$3,$B$13)</f>
        <v>-2.4572600502267505E-2</v>
      </c>
      <c r="AL10" s="23">
        <v>2719.4814311520677</v>
      </c>
      <c r="AM10" s="23">
        <v>1330.2356965464169</v>
      </c>
      <c r="AO10" s="23">
        <v>-179.92653762787015</v>
      </c>
      <c r="AP10" s="23">
        <v>2307.6094011860919</v>
      </c>
      <c r="AQ10" s="23">
        <v>3195.7115326063658</v>
      </c>
      <c r="AR10" s="23">
        <f t="shared" si="3"/>
        <v>3937.1981451816673</v>
      </c>
    </row>
    <row r="11" spans="1:44" x14ac:dyDescent="0.2">
      <c r="A11" s="11" t="s">
        <v>10</v>
      </c>
      <c r="B11" s="12">
        <v>1.6</v>
      </c>
      <c r="C11" s="13"/>
      <c r="D11" s="13"/>
      <c r="E11" s="13"/>
      <c r="F11" s="13"/>
      <c r="G11" s="13"/>
      <c r="H11" s="13"/>
      <c r="I11" s="24"/>
      <c r="J11" s="13"/>
      <c r="K11" s="13"/>
      <c r="L11" s="13"/>
      <c r="M11" s="13"/>
      <c r="N11" s="13"/>
      <c r="O11" s="13"/>
      <c r="P11" s="14"/>
      <c r="Q11" s="22"/>
      <c r="R11" s="22"/>
      <c r="S11" s="22"/>
      <c r="T11" s="22"/>
      <c r="U11" s="23">
        <f t="shared" si="4"/>
        <v>0</v>
      </c>
      <c r="W11" s="3" t="s">
        <v>55</v>
      </c>
      <c r="X11" s="5">
        <v>108000</v>
      </c>
      <c r="Z11" s="3" t="s">
        <v>56</v>
      </c>
      <c r="AA11" s="5">
        <f t="array" aca="1" ref="AA11:AA13" ca="1">MOMENTSPOLY(OFFSET($H$45,0,0,COUNT($H$45:$H$51),2))</f>
        <v>1096.532883653136</v>
      </c>
      <c r="AC11" s="23">
        <v>80</v>
      </c>
      <c r="AD11" s="23">
        <f t="shared" si="1"/>
        <v>14.501557562416863</v>
      </c>
      <c r="AE11" s="23">
        <f t="array" ref="AE11:AG11">FLEXCOMPBIAXRN($B$4,$B$5,$B$6,$B$14,$B$15,$B$16,$B$17,$B$10,$B$11,$B$12,$B$7,AC11,AD11,$B$3,$B$13)</f>
        <v>1.0353971035996778E-2</v>
      </c>
      <c r="AF11" s="23">
        <v>2886.5874684322944</v>
      </c>
      <c r="AG11" s="23">
        <v>696.07117402116023</v>
      </c>
      <c r="AI11" s="23">
        <v>80</v>
      </c>
      <c r="AJ11" s="23">
        <f t="shared" si="2"/>
        <v>14.501557562416863</v>
      </c>
      <c r="AK11" s="23">
        <f t="array" ref="AK11:AM11">FLEXCOMPBIAXRN($B$4,$B$5,$B$6,$B$14,$B$15,$B$16,$B$17,$B$10,$B$11,$B$12,$B$7,AI11,AJ11,$B$3,$B$13)</f>
        <v>1.0353971035996778E-2</v>
      </c>
      <c r="AL11" s="23">
        <v>2886.5874684322944</v>
      </c>
      <c r="AM11" s="23">
        <v>696.07117402116023</v>
      </c>
      <c r="AO11" s="23">
        <v>-229.72088719633859</v>
      </c>
      <c r="AP11" s="23">
        <v>2240.1974055455976</v>
      </c>
      <c r="AQ11" s="23">
        <v>3185.1572432218827</v>
      </c>
      <c r="AR11" s="23">
        <f t="shared" si="3"/>
        <v>3886.8961134675856</v>
      </c>
    </row>
    <row r="12" spans="1:44" x14ac:dyDescent="0.2">
      <c r="A12" s="11" t="s">
        <v>11</v>
      </c>
      <c r="B12" s="12">
        <v>0.8</v>
      </c>
      <c r="C12" s="13"/>
      <c r="D12" s="13"/>
      <c r="E12" s="13"/>
      <c r="F12" s="13"/>
      <c r="G12" s="13"/>
      <c r="H12" s="13"/>
      <c r="I12" s="25" t="s">
        <v>125</v>
      </c>
      <c r="J12" s="13"/>
      <c r="K12" s="13"/>
      <c r="L12" s="13"/>
      <c r="M12" s="13"/>
      <c r="N12" s="13"/>
      <c r="O12" s="13"/>
      <c r="P12" s="14"/>
      <c r="Q12" s="22"/>
      <c r="R12" s="22"/>
      <c r="S12" s="22"/>
      <c r="T12" s="22"/>
      <c r="U12" s="23">
        <f t="shared" si="4"/>
        <v>0</v>
      </c>
      <c r="W12" s="3" t="s">
        <v>57</v>
      </c>
      <c r="X12" s="5">
        <f t="array" aca="1" ref="X12:X14" ca="1">MOMENTSPUNT(OFFSET($W$45,0,0,COUNT($W$45:$W$72),3))</f>
        <v>32.169908772759477</v>
      </c>
      <c r="Z12" s="3" t="s">
        <v>58</v>
      </c>
      <c r="AA12" s="5">
        <f ca="1"/>
        <v>22327.697085908574</v>
      </c>
      <c r="AC12" s="23">
        <v>90</v>
      </c>
      <c r="AD12" s="23">
        <f t="shared" si="1"/>
        <v>8.9199829101562518</v>
      </c>
      <c r="AE12" s="23">
        <f t="array" ref="AE12:AG12">FLEXCOMPBIAXRN($B$4,$B$5,$B$6,$B$14,$B$15,$B$16,$B$17,$B$10,$B$11,$B$12,$B$7,AC12,AD12,$B$3,$B$13)</f>
        <v>-7.9004909446496185E-3</v>
      </c>
      <c r="AF12" s="23">
        <v>2966.8839118573687</v>
      </c>
      <c r="AG12" s="23">
        <v>3.8549615195194089E-13</v>
      </c>
      <c r="AI12" s="23">
        <v>90</v>
      </c>
      <c r="AJ12" s="23">
        <f t="shared" si="2"/>
        <v>8.9199829101562518</v>
      </c>
      <c r="AK12" s="23">
        <f t="array" ref="AK12:AM12">FLEXCOMPBIAXRN($B$4,$B$5,$B$6,$B$14,$B$15,$B$16,$B$17,$B$10,$B$11,$B$12,$B$7,AI12,AJ12,$B$3,$B$13)</f>
        <v>-7.9004909446496185E-3</v>
      </c>
      <c r="AL12" s="23">
        <v>2966.8839118573687</v>
      </c>
      <c r="AM12" s="23">
        <v>3.8549615195194089E-13</v>
      </c>
      <c r="AO12" s="23">
        <v>-288.30848665471871</v>
      </c>
      <c r="AP12" s="23">
        <v>2159.6477328062911</v>
      </c>
      <c r="AQ12" s="23">
        <v>2910.2608290520056</v>
      </c>
      <c r="AR12" s="23">
        <f t="shared" si="3"/>
        <v>3621.797800033436</v>
      </c>
    </row>
    <row r="13" spans="1:44" x14ac:dyDescent="0.2">
      <c r="A13" s="11" t="s">
        <v>110</v>
      </c>
      <c r="B13" s="12">
        <v>0</v>
      </c>
      <c r="C13" s="13"/>
      <c r="D13" s="13"/>
      <c r="E13" s="13"/>
      <c r="F13" s="13"/>
      <c r="G13" s="13"/>
      <c r="H13" s="13"/>
      <c r="I13" s="6" t="s">
        <v>52</v>
      </c>
      <c r="J13" s="6" t="s">
        <v>53</v>
      </c>
      <c r="K13" s="6" t="s">
        <v>54</v>
      </c>
      <c r="L13" s="13"/>
      <c r="M13" s="6" t="s">
        <v>127</v>
      </c>
      <c r="N13" s="13"/>
      <c r="O13" s="13"/>
      <c r="P13" s="14"/>
      <c r="Q13" s="22"/>
      <c r="R13" s="22"/>
      <c r="S13" s="22"/>
      <c r="T13" s="22"/>
      <c r="U13" s="23">
        <f t="shared" si="4"/>
        <v>0</v>
      </c>
      <c r="W13" s="3" t="s">
        <v>59</v>
      </c>
      <c r="X13" s="5">
        <f ca="1"/>
        <v>965.09726318278456</v>
      </c>
      <c r="Z13" s="3" t="s">
        <v>60</v>
      </c>
      <c r="AA13" s="5">
        <f ca="1"/>
        <v>245.38427975285254</v>
      </c>
      <c r="AC13" s="23">
        <v>100</v>
      </c>
      <c r="AD13" s="23">
        <f t="shared" si="1"/>
        <v>14.501557562416863</v>
      </c>
      <c r="AE13" s="23">
        <f t="array" ref="AE13:AG13">FLEXCOMPBIAXRN($B$4,$B$5,$B$6,$B$14,$B$15,$B$16,$B$17,$B$10,$B$11,$B$12,$B$7,AC13,AD13,$B$3,$B$13)</f>
        <v>1.0353971035954146E-2</v>
      </c>
      <c r="AF13" s="23">
        <v>2886.5874684322953</v>
      </c>
      <c r="AG13" s="23">
        <v>-696.07117402115989</v>
      </c>
      <c r="AI13" s="23">
        <v>100</v>
      </c>
      <c r="AJ13" s="23">
        <f t="shared" si="2"/>
        <v>14.501557562416863</v>
      </c>
      <c r="AK13" s="23">
        <f t="array" ref="AK13:AM13">FLEXCOMPBIAXRN($B$4,$B$5,$B$6,$B$14,$B$15,$B$16,$B$17,$B$10,$B$11,$B$12,$B$7,AI13,AJ13,$B$3,$B$13)</f>
        <v>1.0353971035954146E-2</v>
      </c>
      <c r="AL13" s="23">
        <v>2886.5874684322953</v>
      </c>
      <c r="AM13" s="23">
        <v>-696.07117402115989</v>
      </c>
      <c r="AO13" s="23">
        <v>-353.37636807359945</v>
      </c>
      <c r="AP13" s="23">
        <v>1889.6951336870181</v>
      </c>
      <c r="AQ13" s="23">
        <v>2342.8729283463549</v>
      </c>
      <c r="AR13" s="23">
        <f t="shared" si="3"/>
        <v>3009.9442923852976</v>
      </c>
    </row>
    <row r="14" spans="1:44" x14ac:dyDescent="0.2">
      <c r="A14" s="11" t="s">
        <v>16</v>
      </c>
      <c r="B14" s="12">
        <v>60</v>
      </c>
      <c r="C14" s="13"/>
      <c r="D14" s="13"/>
      <c r="E14" s="13"/>
      <c r="F14" s="13"/>
      <c r="G14" s="13"/>
      <c r="H14" s="13"/>
      <c r="I14" s="7">
        <f>ROUND(I5/I10-1,3)</f>
        <v>0</v>
      </c>
      <c r="J14" s="7">
        <f>ROUND(J5/J10-1,3)</f>
        <v>-1E-3</v>
      </c>
      <c r="K14" s="7">
        <f>ROUND(K5/K10-1,3)</f>
        <v>0</v>
      </c>
      <c r="L14" s="13"/>
      <c r="M14" s="7">
        <f>M4/M9</f>
        <v>1.4127413463493184</v>
      </c>
      <c r="N14" s="13"/>
      <c r="O14" s="13"/>
      <c r="P14" s="14"/>
      <c r="Q14" s="22"/>
      <c r="R14" s="22"/>
      <c r="S14" s="22"/>
      <c r="T14" s="22"/>
      <c r="U14" s="23">
        <f t="shared" si="4"/>
        <v>0</v>
      </c>
      <c r="W14" s="3" t="s">
        <v>62</v>
      </c>
      <c r="X14" s="5">
        <f ca="1"/>
        <v>965.09726318278445</v>
      </c>
      <c r="Z14" s="3" t="s">
        <v>63</v>
      </c>
      <c r="AA14" s="5">
        <f ca="1">AA11*$X$8</f>
        <v>-195.7311136210694</v>
      </c>
      <c r="AC14" s="23">
        <v>110</v>
      </c>
      <c r="AD14" s="23">
        <f t="shared" si="1"/>
        <v>19.233905563250303</v>
      </c>
      <c r="AE14" s="23">
        <f t="array" ref="AE14:AG14">FLEXCOMPBIAXRN($B$4,$B$5,$B$6,$B$14,$B$15,$B$16,$B$17,$B$10,$B$11,$B$12,$B$7,AC14,AD14,$B$3,$B$13)</f>
        <v>-2.4572600502267505E-2</v>
      </c>
      <c r="AF14" s="23">
        <v>2719.481431152069</v>
      </c>
      <c r="AG14" s="23">
        <v>-1330.2356965464169</v>
      </c>
      <c r="AI14" s="23">
        <v>110</v>
      </c>
      <c r="AJ14" s="23">
        <f t="shared" si="2"/>
        <v>19.233905563250303</v>
      </c>
      <c r="AK14" s="23">
        <f t="array" ref="AK14:AM14">FLEXCOMPBIAXRN($B$4,$B$5,$B$6,$B$14,$B$15,$B$16,$B$17,$B$10,$B$11,$B$12,$B$7,AI14,AJ14,$B$3,$B$13)</f>
        <v>-2.4572600502267505E-2</v>
      </c>
      <c r="AL14" s="23">
        <v>2719.481431152069</v>
      </c>
      <c r="AM14" s="23">
        <v>-1330.2356965464169</v>
      </c>
      <c r="AO14" s="23">
        <v>-401.42505629724667</v>
      </c>
      <c r="AP14" s="23">
        <v>1284.936918596062</v>
      </c>
      <c r="AQ14" s="23">
        <v>1494.9499065370571</v>
      </c>
      <c r="AR14" s="23">
        <f t="shared" si="3"/>
        <v>1969.9747111594115</v>
      </c>
    </row>
    <row r="15" spans="1:44" x14ac:dyDescent="0.2">
      <c r="A15" s="11" t="s">
        <v>17</v>
      </c>
      <c r="B15" s="12">
        <v>60</v>
      </c>
      <c r="C15" s="13"/>
      <c r="D15" s="13"/>
      <c r="E15" s="13"/>
      <c r="F15" s="13"/>
      <c r="G15" s="13"/>
      <c r="H15" s="13"/>
      <c r="I15" s="24"/>
      <c r="J15" s="13"/>
      <c r="K15" s="13"/>
      <c r="L15" s="13"/>
      <c r="M15" s="13"/>
      <c r="N15" s="13"/>
      <c r="O15" s="13"/>
      <c r="P15" s="14"/>
      <c r="Q15" s="22"/>
      <c r="R15" s="22"/>
      <c r="S15" s="22"/>
      <c r="T15" s="22"/>
      <c r="U15" s="23">
        <f t="shared" si="4"/>
        <v>0</v>
      </c>
      <c r="W15" s="3" t="s">
        <v>64</v>
      </c>
      <c r="X15" s="5">
        <f ca="1">(-X11*X8+(B5+X8)*X14)/(-X8*X9+(B5+X8)*X12)</f>
        <v>30.000000000000004</v>
      </c>
      <c r="Z15" s="3" t="s">
        <v>65</v>
      </c>
      <c r="AA15" s="5">
        <f ca="1">AA12*$X$8</f>
        <v>-3985.4938054016588</v>
      </c>
      <c r="AC15" s="23">
        <v>120</v>
      </c>
      <c r="AD15" s="23">
        <f t="shared" si="1"/>
        <v>22.262528881317252</v>
      </c>
      <c r="AE15" s="23">
        <f t="array" ref="AE15:AG15">FLEXCOMPBIAXRN($B$4,$B$5,$B$6,$B$14,$B$15,$B$16,$B$17,$B$10,$B$11,$B$12,$B$7,AC15,AD15,$B$3,$B$13)</f>
        <v>1.5111705863333214E-2</v>
      </c>
      <c r="AF15" s="23">
        <v>2539.7888418670832</v>
      </c>
      <c r="AG15" s="23">
        <v>-1748.8680811168977</v>
      </c>
      <c r="AI15" s="23">
        <v>120</v>
      </c>
      <c r="AJ15" s="23">
        <f t="shared" si="2"/>
        <v>22.262528881317252</v>
      </c>
      <c r="AK15" s="23">
        <f t="array" ref="AK15:AM15">FLEXCOMPBIAXRN($B$4,$B$5,$B$6,$B$14,$B$15,$B$16,$B$17,$B$10,$B$11,$B$12,$B$7,AI15,AJ15,$B$3,$B$13)</f>
        <v>1.5111705863333214E-2</v>
      </c>
      <c r="AL15" s="23">
        <v>2539.7888418670832</v>
      </c>
      <c r="AM15" s="23">
        <v>-1748.8680811168977</v>
      </c>
      <c r="AO15" s="23">
        <v>-401.42505629724667</v>
      </c>
      <c r="AP15" s="23">
        <v>778.32546182231749</v>
      </c>
      <c r="AQ15" s="23">
        <v>892.6640532205289</v>
      </c>
      <c r="AR15" s="23">
        <f t="shared" si="3"/>
        <v>1183.2128945039858</v>
      </c>
    </row>
    <row r="16" spans="1:44" x14ac:dyDescent="0.2">
      <c r="A16" s="11" t="s">
        <v>107</v>
      </c>
      <c r="B16" s="67">
        <v>5</v>
      </c>
      <c r="C16" s="13"/>
      <c r="D16" s="13"/>
      <c r="E16" s="13"/>
      <c r="F16" s="13"/>
      <c r="G16" s="13"/>
      <c r="H16" s="13"/>
      <c r="I16" s="24"/>
      <c r="J16" s="13"/>
      <c r="K16" s="13"/>
      <c r="L16" s="13"/>
      <c r="M16" s="13"/>
      <c r="N16" s="13"/>
      <c r="O16" s="13"/>
      <c r="P16" s="14"/>
      <c r="Q16" s="22"/>
      <c r="R16" s="22"/>
      <c r="S16" s="22"/>
      <c r="T16" s="22"/>
      <c r="U16" s="23">
        <f t="shared" si="4"/>
        <v>0</v>
      </c>
      <c r="W16" s="3" t="s">
        <v>66</v>
      </c>
      <c r="X16" s="5">
        <f ca="1">(-X10*X8+(B5+X8)*X13)/(-X8*X9+(B5+X8)*X12)</f>
        <v>30.000000000000004</v>
      </c>
      <c r="Z16" s="3" t="s">
        <v>67</v>
      </c>
      <c r="AA16" s="5">
        <f ca="1">AA13*$X$8</f>
        <v>-43.801092568349169</v>
      </c>
      <c r="AC16" s="23">
        <v>130</v>
      </c>
      <c r="AD16" s="23">
        <f t="shared" si="1"/>
        <v>23.772751066826011</v>
      </c>
      <c r="AE16" s="23">
        <f t="array" ref="AE16:AG16">FLEXCOMPBIAXRN($B$4,$B$5,$B$6,$B$14,$B$15,$B$16,$B$17,$B$10,$B$11,$B$12,$B$7,AC16,AD16,$B$3,$B$13)</f>
        <v>3.121264760150666E-2</v>
      </c>
      <c r="AF16" s="23">
        <v>2335.8477699281807</v>
      </c>
      <c r="AG16" s="23">
        <v>-2050.3470423233875</v>
      </c>
      <c r="AI16" s="23">
        <v>130</v>
      </c>
      <c r="AJ16" s="23">
        <f t="shared" si="2"/>
        <v>23.772751066826011</v>
      </c>
      <c r="AK16" s="23">
        <f t="array" ref="AK16:AM16">FLEXCOMPBIAXRN($B$4,$B$5,$B$6,$B$14,$B$15,$B$16,$B$17,$B$10,$B$11,$B$12,$B$7,AI16,AJ16,$B$3,$B$13)</f>
        <v>3.121264760150666E-2</v>
      </c>
      <c r="AL16" s="23">
        <v>2335.8477699281807</v>
      </c>
      <c r="AM16" s="23">
        <v>-2050.3470423233875</v>
      </c>
      <c r="AO16" s="23">
        <v>-401.42505629724667</v>
      </c>
      <c r="AP16" s="23">
        <v>5.0821144341063508E-14</v>
      </c>
      <c r="AQ16" s="23">
        <v>-7.3262451983263005E-14</v>
      </c>
      <c r="AR16" s="23">
        <f t="shared" si="3"/>
        <v>-2.5556001737792209E-14</v>
      </c>
    </row>
    <row r="17" spans="1:44" x14ac:dyDescent="0.2">
      <c r="A17" s="11" t="s">
        <v>108</v>
      </c>
      <c r="B17" s="67">
        <v>5</v>
      </c>
      <c r="C17" s="13"/>
      <c r="D17" s="13"/>
      <c r="E17" s="13"/>
      <c r="F17" s="13"/>
      <c r="G17" s="13"/>
      <c r="H17" s="13"/>
      <c r="I17" s="25" t="s">
        <v>68</v>
      </c>
      <c r="J17" s="13"/>
      <c r="K17" s="13"/>
      <c r="L17" s="13"/>
      <c r="Q17" s="22"/>
      <c r="R17" s="22"/>
      <c r="S17" s="22"/>
      <c r="T17" s="22"/>
      <c r="U17" s="23">
        <f t="shared" si="4"/>
        <v>0</v>
      </c>
      <c r="W17" s="3" t="s">
        <v>69</v>
      </c>
      <c r="X17" s="5">
        <f>IF(B4&lt;=B3,0.85,IF(B4&gt;=2*B3,0.65,0.85-(0.85-0.65)*(B4/B3-1)))</f>
        <v>0.85</v>
      </c>
      <c r="Z17" s="3" t="s">
        <v>70</v>
      </c>
      <c r="AA17" s="5">
        <f ca="1">AA14+AA7</f>
        <v>-178.3438567355266</v>
      </c>
      <c r="AC17" s="23">
        <v>140</v>
      </c>
      <c r="AD17" s="23">
        <f t="shared" si="1"/>
        <v>23.772751066826011</v>
      </c>
      <c r="AE17" s="23">
        <f t="array" ref="AE17:AG17">FLEXCOMPBIAXRN($B$4,$B$5,$B$6,$B$14,$B$15,$B$16,$B$17,$B$10,$B$11,$B$12,$B$7,AC17,AD17,$B$3,$B$13)</f>
        <v>3.1212647601520871E-2</v>
      </c>
      <c r="AF17" s="23">
        <v>2050.347042323388</v>
      </c>
      <c r="AG17" s="23">
        <v>-2335.8477699281802</v>
      </c>
      <c r="AI17" s="23">
        <v>140</v>
      </c>
      <c r="AJ17" s="23">
        <f t="shared" si="2"/>
        <v>23.772751066826011</v>
      </c>
      <c r="AK17" s="23">
        <f t="array" ref="AK17:AM17">FLEXCOMPBIAXRN($B$4,$B$5,$B$6,$B$14,$B$15,$B$16,$B$17,$B$10,$B$11,$B$12,$B$7,AI17,AJ17,$B$3,$B$13)</f>
        <v>3.1212647601520871E-2</v>
      </c>
      <c r="AL17" s="23">
        <v>2050.347042323388</v>
      </c>
      <c r="AM17" s="23">
        <v>-2335.8477699281802</v>
      </c>
      <c r="AO17" s="23">
        <f t="array" ref="AO17:AQ30">DIAGRAFLEXCOMPRN(B4,B5,B6,B14,B15,B16,B17,B10,B11,B12,B7,B8+180,B3,B13)</f>
        <v>121.60224963869997</v>
      </c>
      <c r="AP17" s="23">
        <v>-1.5111224868692427E-13</v>
      </c>
      <c r="AQ17" s="23">
        <v>1.751611032934384E-13</v>
      </c>
      <c r="AR17" s="23">
        <f t="shared" si="3"/>
        <v>4.2632564145605986E-14</v>
      </c>
    </row>
    <row r="18" spans="1:44" x14ac:dyDescent="0.2">
      <c r="A18" s="24"/>
      <c r="B18" s="13"/>
      <c r="C18" s="13"/>
      <c r="D18" s="13"/>
      <c r="E18" s="13"/>
      <c r="F18" s="13"/>
      <c r="G18" s="13"/>
      <c r="H18" s="13" t="s">
        <v>189</v>
      </c>
      <c r="I18" s="24"/>
      <c r="J18" s="13"/>
      <c r="K18" s="13"/>
      <c r="L18" s="13"/>
      <c r="Q18" s="22"/>
      <c r="R18" s="22"/>
      <c r="S18" s="22"/>
      <c r="T18" s="22"/>
      <c r="U18" s="23">
        <f t="shared" si="4"/>
        <v>0</v>
      </c>
      <c r="W18" s="3" t="s">
        <v>71</v>
      </c>
      <c r="X18" s="5">
        <f ca="1">MAX(F45:F49)</f>
        <v>42.161660342562556</v>
      </c>
      <c r="Z18" s="3" t="s">
        <v>72</v>
      </c>
      <c r="AA18" s="5">
        <f ca="1">AA15+AA8</f>
        <v>-5722.1165414523439</v>
      </c>
      <c r="AC18" s="23">
        <v>150</v>
      </c>
      <c r="AD18" s="23">
        <f t="shared" si="1"/>
        <v>22.262528881317252</v>
      </c>
      <c r="AE18" s="23">
        <f t="array" ref="AE18:AG18">FLEXCOMPBIAXRN($B$4,$B$5,$B$6,$B$14,$B$15,$B$16,$B$17,$B$10,$B$11,$B$12,$B$7,AC18,AD18,$B$3,$B$13)</f>
        <v>1.5111705863361635E-2</v>
      </c>
      <c r="AF18" s="23">
        <v>1748.8680811168983</v>
      </c>
      <c r="AG18" s="23">
        <v>-2539.7888418670836</v>
      </c>
      <c r="AI18" s="23">
        <v>150</v>
      </c>
      <c r="AJ18" s="23">
        <f t="shared" si="2"/>
        <v>22.262528881317252</v>
      </c>
      <c r="AK18" s="23">
        <f t="array" ref="AK18:AM18">FLEXCOMPBIAXRN($B$4,$B$5,$B$6,$B$14,$B$15,$B$16,$B$17,$B$10,$B$11,$B$12,$B$7,AI18,AJ18,$B$3,$B$13)</f>
        <v>1.5111705863361635E-2</v>
      </c>
      <c r="AL18" s="23">
        <v>1748.8680811168983</v>
      </c>
      <c r="AM18" s="23">
        <v>-2539.7888418670836</v>
      </c>
      <c r="AO18" s="23">
        <v>107.83233307459957</v>
      </c>
      <c r="AP18" s="23">
        <v>-245.97884785751575</v>
      </c>
      <c r="AQ18" s="23">
        <v>-273.31353507627779</v>
      </c>
      <c r="AR18" s="23">
        <f t="shared" si="3"/>
        <v>-367.05973732405937</v>
      </c>
    </row>
    <row r="19" spans="1:44" x14ac:dyDescent="0.2">
      <c r="A19" s="24"/>
      <c r="B19" s="13"/>
      <c r="C19" s="13"/>
      <c r="D19" s="13"/>
      <c r="E19" s="13"/>
      <c r="F19" s="13"/>
      <c r="G19" s="13"/>
      <c r="H19" s="13"/>
      <c r="I19" s="24"/>
      <c r="J19" s="13"/>
      <c r="K19" s="13"/>
      <c r="L19" s="13"/>
      <c r="M19" s="13"/>
      <c r="N19" s="13"/>
      <c r="O19" s="13"/>
      <c r="P19" s="14"/>
      <c r="Q19" s="22"/>
      <c r="R19" s="22"/>
      <c r="S19" s="22"/>
      <c r="T19" s="22"/>
      <c r="U19" s="23">
        <f t="shared" si="4"/>
        <v>0</v>
      </c>
      <c r="W19" s="3" t="s">
        <v>17</v>
      </c>
      <c r="X19" s="5">
        <f ca="1">X18-MIN(F45:F49)</f>
        <v>84.323320685125111</v>
      </c>
      <c r="Z19" s="3" t="s">
        <v>73</v>
      </c>
      <c r="AA19" s="5">
        <f ca="1">AA16+AA9</f>
        <v>-57.458641073751615</v>
      </c>
      <c r="AC19" s="23">
        <v>160</v>
      </c>
      <c r="AD19" s="23">
        <f t="shared" si="1"/>
        <v>19.233905563250303</v>
      </c>
      <c r="AE19" s="23">
        <f t="array" ref="AE19:AG19">FLEXCOMPBIAXRN($B$4,$B$5,$B$6,$B$14,$B$15,$B$16,$B$17,$B$10,$B$11,$B$12,$B$7,AC19,AD19,$B$3,$B$13)</f>
        <v>-2.4572600502224873E-2</v>
      </c>
      <c r="AF19" s="23">
        <v>1330.2356965464169</v>
      </c>
      <c r="AG19" s="23">
        <v>-2719.4814311520677</v>
      </c>
      <c r="AI19" s="23">
        <v>160</v>
      </c>
      <c r="AJ19" s="23">
        <f t="shared" si="2"/>
        <v>19.233905563250303</v>
      </c>
      <c r="AK19" s="23">
        <f t="array" ref="AK19:AM19">FLEXCOMPBIAXRN($B$4,$B$5,$B$6,$B$14,$B$15,$B$16,$B$17,$B$10,$B$11,$B$12,$B$7,AI19,AJ19,$B$3,$B$13)</f>
        <v>-2.4572600502224873E-2</v>
      </c>
      <c r="AL19" s="23">
        <v>1330.2356965464169</v>
      </c>
      <c r="AM19" s="23">
        <v>-2719.4814311520677</v>
      </c>
      <c r="AO19" s="23">
        <v>65.436628198701356</v>
      </c>
      <c r="AP19" s="23">
        <v>-1053.2922940467104</v>
      </c>
      <c r="AQ19" s="23">
        <v>-1177.8935302668265</v>
      </c>
      <c r="AR19" s="23">
        <f t="shared" si="3"/>
        <v>-1577.6690968730904</v>
      </c>
    </row>
    <row r="20" spans="1:44" x14ac:dyDescent="0.2">
      <c r="A20" s="24"/>
      <c r="B20" s="13"/>
      <c r="C20" s="13"/>
      <c r="D20" s="13"/>
      <c r="E20" s="13"/>
      <c r="F20" s="13"/>
      <c r="G20" s="13"/>
      <c r="H20" s="13"/>
      <c r="I20" s="29" t="s">
        <v>74</v>
      </c>
      <c r="J20" s="30"/>
      <c r="K20" s="31" t="s">
        <v>111</v>
      </c>
      <c r="L20" s="32"/>
      <c r="M20" s="33"/>
      <c r="N20" s="13"/>
      <c r="O20" s="13"/>
      <c r="P20" s="14"/>
      <c r="Q20" s="22"/>
      <c r="R20" s="22"/>
      <c r="S20" s="22"/>
      <c r="T20" s="22"/>
      <c r="U20" s="23">
        <f t="shared" si="4"/>
        <v>0</v>
      </c>
      <c r="W20" s="3" t="s">
        <v>76</v>
      </c>
      <c r="X20" s="5">
        <f ca="1">MIN(IF(B9&lt;=0,0,X17*B9),X19)</f>
        <v>32.699361230493338</v>
      </c>
      <c r="Z20" s="3" t="s">
        <v>77</v>
      </c>
      <c r="AA20" s="5">
        <f ca="1">-AA18*COS(X6)-AA19*SIN(X6)</f>
        <v>4508.0531178170368</v>
      </c>
      <c r="AC20" s="23">
        <v>170</v>
      </c>
      <c r="AD20" s="23">
        <f t="shared" si="1"/>
        <v>14.501557562416863</v>
      </c>
      <c r="AE20" s="23">
        <f t="array" ref="AE20:AG20">FLEXCOMPBIAXRN($B$4,$B$5,$B$6,$B$14,$B$15,$B$16,$B$17,$B$10,$B$11,$B$12,$B$7,AC20,AD20,$B$3,$B$13)</f>
        <v>1.0353971035954146E-2</v>
      </c>
      <c r="AF20" s="23">
        <v>696.07117402115989</v>
      </c>
      <c r="AG20" s="23">
        <v>-2886.5874684322953</v>
      </c>
      <c r="AI20" s="23">
        <v>170</v>
      </c>
      <c r="AJ20" s="23">
        <f t="shared" si="2"/>
        <v>14.501557562416863</v>
      </c>
      <c r="AK20" s="23">
        <f t="array" ref="AK20:AM20">FLEXCOMPBIAXRN($B$4,$B$5,$B$6,$B$14,$B$15,$B$16,$B$17,$B$10,$B$11,$B$12,$B$7,AI20,AJ20,$B$3,$B$13)</f>
        <v>1.0353971035954146E-2</v>
      </c>
      <c r="AL20" s="23">
        <v>696.07117402115989</v>
      </c>
      <c r="AM20" s="23">
        <v>-2886.5874684322953</v>
      </c>
      <c r="AO20" s="23">
        <v>20.111737442928856</v>
      </c>
      <c r="AP20" s="23">
        <v>-1745.8481860151373</v>
      </c>
      <c r="AQ20" s="23">
        <v>-2020.6116744754709</v>
      </c>
      <c r="AR20" s="23">
        <f t="shared" si="3"/>
        <v>-2668.3409477057467</v>
      </c>
    </row>
    <row r="21" spans="1:44" x14ac:dyDescent="0.2">
      <c r="A21" s="34"/>
      <c r="B21" s="35"/>
      <c r="C21" s="35"/>
      <c r="D21" s="35"/>
      <c r="E21" s="35"/>
      <c r="F21" s="35"/>
      <c r="G21" s="35"/>
      <c r="H21" s="35"/>
      <c r="I21" s="29" t="s">
        <v>78</v>
      </c>
      <c r="J21" s="30"/>
      <c r="K21" s="36">
        <v>20</v>
      </c>
      <c r="L21" s="35"/>
      <c r="M21" s="35"/>
      <c r="N21" s="35"/>
      <c r="O21" s="35"/>
      <c r="P21" s="37"/>
      <c r="Q21" s="22"/>
      <c r="R21" s="22"/>
      <c r="S21" s="22"/>
      <c r="T21" s="22"/>
      <c r="U21" s="23">
        <f t="shared" si="4"/>
        <v>0</v>
      </c>
      <c r="W21" s="3" t="s">
        <v>79</v>
      </c>
      <c r="X21" s="5">
        <f ca="1">X18-X20</f>
        <v>9.4622991120692177</v>
      </c>
      <c r="Z21" s="3" t="s">
        <v>80</v>
      </c>
      <c r="AA21" s="5">
        <f ca="1">-AA18*SIN(X6)+AA19*COS(X6)</f>
        <v>3524.6810205090433</v>
      </c>
      <c r="AC21" s="23">
        <v>180</v>
      </c>
      <c r="AD21" s="23">
        <f t="shared" si="1"/>
        <v>8.9199829101562518</v>
      </c>
      <c r="AE21" s="23">
        <f t="array" ref="AE21:AG21">FLEXCOMPBIAXRN($B$4,$B$5,$B$6,$B$14,$B$15,$B$16,$B$17,$B$10,$B$11,$B$12,$B$7,AC21,AD21,$B$3,$B$13)</f>
        <v>-7.9004909446638294E-3</v>
      </c>
      <c r="AF21" s="23">
        <v>4.1236797688209366E-13</v>
      </c>
      <c r="AG21" s="23">
        <v>-2966.8839118573687</v>
      </c>
      <c r="AI21" s="23">
        <v>180</v>
      </c>
      <c r="AJ21" s="23">
        <f t="shared" si="2"/>
        <v>8.9199829101562518</v>
      </c>
      <c r="AK21" s="23">
        <f t="array" ref="AK21:AM21">FLEXCOMPBIAXRN($B$4,$B$5,$B$6,$B$14,$B$15,$B$16,$B$17,$B$10,$B$11,$B$12,$B$7,AI21,AJ21,$B$3,$B$13)</f>
        <v>-7.9004909446638294E-3</v>
      </c>
      <c r="AL21" s="23">
        <v>4.1236797688209366E-13</v>
      </c>
      <c r="AM21" s="23">
        <v>-2966.8839118573687</v>
      </c>
      <c r="AO21" s="23">
        <v>-41.917535384971529</v>
      </c>
      <c r="AP21" s="23">
        <v>-2509.2056006236598</v>
      </c>
      <c r="AQ21" s="23">
        <v>-3007.2738478095375</v>
      </c>
      <c r="AR21" s="23">
        <f t="shared" si="3"/>
        <v>-3915.6821192114207</v>
      </c>
    </row>
    <row r="22" spans="1:44" x14ac:dyDescent="0.2">
      <c r="A22" s="24"/>
      <c r="B22" s="13"/>
      <c r="C22" s="13"/>
      <c r="D22" s="13"/>
      <c r="E22" s="13"/>
      <c r="F22" s="13"/>
      <c r="G22" s="13"/>
      <c r="H22" s="13"/>
      <c r="I22" s="24"/>
      <c r="J22" s="13"/>
      <c r="K22" s="13"/>
      <c r="L22" s="13"/>
      <c r="M22" s="13"/>
      <c r="N22" s="13"/>
      <c r="O22" s="13"/>
      <c r="P22" s="14"/>
      <c r="Q22" s="22"/>
      <c r="R22" s="22"/>
      <c r="S22" s="22"/>
      <c r="T22" s="22"/>
      <c r="U22" s="23">
        <f t="shared" si="4"/>
        <v>0</v>
      </c>
      <c r="X22" s="2">
        <f ca="1">X12/AA11</f>
        <v>2.9337842259307675E-2</v>
      </c>
      <c r="Z22" s="3" t="s">
        <v>81</v>
      </c>
      <c r="AA22" s="19">
        <f ca="1">MAX($AA$6*AA17,AA10)</f>
        <v>-128.59279121494836</v>
      </c>
      <c r="AC22" s="23">
        <v>190</v>
      </c>
      <c r="AD22" s="23">
        <f t="shared" si="1"/>
        <v>14.50155756241686</v>
      </c>
      <c r="AE22" s="23">
        <f t="array" ref="AE22:AG22">FLEXCOMPBIAXRN($B$4,$B$5,$B$6,$B$14,$B$15,$B$16,$B$17,$B$10,$B$11,$B$12,$B$7,AC22,AD22,$B$3,$B$13)</f>
        <v>1.0353971035968357E-2</v>
      </c>
      <c r="AF22" s="23">
        <v>-696.07117402115875</v>
      </c>
      <c r="AG22" s="23">
        <v>-2886.5874684322962</v>
      </c>
      <c r="AI22" s="23">
        <v>190</v>
      </c>
      <c r="AJ22" s="23">
        <f t="shared" si="2"/>
        <v>14.50155756241686</v>
      </c>
      <c r="AK22" s="23">
        <f t="array" ref="AK22:AM22">FLEXCOMPBIAXRN($B$4,$B$5,$B$6,$B$14,$B$15,$B$16,$B$17,$B$10,$B$11,$B$12,$B$7,AI22,AJ22,$B$3,$B$13)</f>
        <v>1.0353971035968357E-2</v>
      </c>
      <c r="AL22" s="23">
        <v>-696.07117402115875</v>
      </c>
      <c r="AM22" s="23">
        <v>-2886.5874684322962</v>
      </c>
      <c r="AO22" s="23">
        <v>-87.018718309160846</v>
      </c>
      <c r="AP22" s="23">
        <v>-2576.3837524900805</v>
      </c>
      <c r="AQ22" s="23">
        <v>-3188.939366648945</v>
      </c>
      <c r="AR22" s="23">
        <f t="shared" si="3"/>
        <v>-4099.572913714489</v>
      </c>
    </row>
    <row r="23" spans="1:44" x14ac:dyDescent="0.2">
      <c r="A23" s="24"/>
      <c r="B23" s="13"/>
      <c r="C23" s="13"/>
      <c r="D23" s="13"/>
      <c r="E23" s="13"/>
      <c r="F23" s="13"/>
      <c r="G23" s="13"/>
      <c r="H23" s="13"/>
      <c r="I23" s="24"/>
      <c r="J23" s="13"/>
      <c r="K23" s="13"/>
      <c r="L23" s="13"/>
      <c r="M23" s="13"/>
      <c r="N23" s="13"/>
      <c r="O23" s="13"/>
      <c r="P23" s="14"/>
      <c r="Q23" s="22"/>
      <c r="R23" s="22"/>
      <c r="S23" s="22"/>
      <c r="T23" s="22"/>
      <c r="U23" s="23">
        <f t="shared" si="4"/>
        <v>0</v>
      </c>
      <c r="Z23" s="3" t="s">
        <v>82</v>
      </c>
      <c r="AA23" s="19">
        <f ca="1">$AA$6*AA20</f>
        <v>3250.4799659290125</v>
      </c>
      <c r="AC23" s="23">
        <v>200</v>
      </c>
      <c r="AD23" s="23">
        <f t="shared" si="1"/>
        <v>19.233905563250296</v>
      </c>
      <c r="AE23" s="23">
        <f t="array" ref="AE23:AG23">FLEXCOMPBIAXRN($B$4,$B$5,$B$6,$B$14,$B$15,$B$16,$B$17,$B$10,$B$11,$B$12,$B$7,AC23,AD23,$B$3,$B$13)</f>
        <v>-2.4572600502267505E-2</v>
      </c>
      <c r="AF23" s="23">
        <v>-1330.2356965464164</v>
      </c>
      <c r="AG23" s="23">
        <v>-2719.4814311520686</v>
      </c>
      <c r="AI23" s="23">
        <v>200</v>
      </c>
      <c r="AJ23" s="23">
        <f t="shared" si="2"/>
        <v>19.233905563250296</v>
      </c>
      <c r="AK23" s="23">
        <f t="array" ref="AK23:AM23">FLEXCOMPBIAXRN($B$4,$B$5,$B$6,$B$14,$B$15,$B$16,$B$17,$B$10,$B$11,$B$12,$B$7,AI23,AJ23,$B$3,$B$13)</f>
        <v>-2.4572600502267505E-2</v>
      </c>
      <c r="AL23" s="23">
        <v>-1330.2356965464164</v>
      </c>
      <c r="AM23" s="23">
        <v>-2719.4814311520686</v>
      </c>
      <c r="AO23" s="23">
        <v>-148.12359021372757</v>
      </c>
      <c r="AP23" s="23">
        <v>-2479.3774989465346</v>
      </c>
      <c r="AQ23" s="23">
        <v>-3249.2211185095166</v>
      </c>
      <c r="AR23" s="23">
        <f t="shared" si="3"/>
        <v>-4086.1723076983171</v>
      </c>
    </row>
    <row r="24" spans="1:44" x14ac:dyDescent="0.2">
      <c r="A24" s="24"/>
      <c r="B24" s="13"/>
      <c r="C24" s="13"/>
      <c r="D24" s="13"/>
      <c r="E24" s="13"/>
      <c r="F24" s="13"/>
      <c r="G24" s="13"/>
      <c r="H24" s="13"/>
      <c r="I24" s="24"/>
      <c r="J24" s="13"/>
      <c r="K24" s="13"/>
      <c r="L24" s="13"/>
      <c r="M24" s="13"/>
      <c r="N24" s="13"/>
      <c r="O24" s="13"/>
      <c r="P24" s="14"/>
      <c r="Q24" s="22"/>
      <c r="R24" s="22"/>
      <c r="S24" s="22"/>
      <c r="T24" s="22"/>
      <c r="U24" s="23">
        <f t="shared" si="4"/>
        <v>0</v>
      </c>
      <c r="Z24" s="3" t="s">
        <v>83</v>
      </c>
      <c r="AA24" s="19">
        <f ca="1">$AA$6*AA21</f>
        <v>2541.4308003989809</v>
      </c>
      <c r="AC24" s="23">
        <v>210</v>
      </c>
      <c r="AD24" s="23">
        <f t="shared" si="1"/>
        <v>22.262528881317252</v>
      </c>
      <c r="AE24" s="23">
        <f t="array" ref="AE24:AG24">FLEXCOMPBIAXRN($B$4,$B$5,$B$6,$B$14,$B$15,$B$16,$B$17,$B$10,$B$11,$B$12,$B$7,AC24,AD24,$B$3,$B$13)</f>
        <v>1.5111705863333214E-2</v>
      </c>
      <c r="AF24" s="23">
        <v>-1748.8680811168981</v>
      </c>
      <c r="AG24" s="23">
        <v>-2539.7888418670836</v>
      </c>
      <c r="AI24" s="23">
        <v>210</v>
      </c>
      <c r="AJ24" s="23">
        <f t="shared" si="2"/>
        <v>22.262528881317252</v>
      </c>
      <c r="AK24" s="23">
        <f t="array" ref="AK24:AM24">FLEXCOMPBIAXRN($B$4,$B$5,$B$6,$B$14,$B$15,$B$16,$B$17,$B$10,$B$11,$B$12,$B$7,AI24,AJ24,$B$3,$B$13)</f>
        <v>1.5111705863333214E-2</v>
      </c>
      <c r="AL24" s="23">
        <v>-1748.8680811168981</v>
      </c>
      <c r="AM24" s="23">
        <v>-2539.7888418670836</v>
      </c>
      <c r="AO24" s="23">
        <v>-179.92653762787018</v>
      </c>
      <c r="AP24" s="23">
        <v>-2307.609401186091</v>
      </c>
      <c r="AQ24" s="23">
        <v>-3195.7115326063667</v>
      </c>
      <c r="AR24" s="23">
        <f t="shared" si="3"/>
        <v>-3937.1981451816673</v>
      </c>
    </row>
    <row r="25" spans="1:44" x14ac:dyDescent="0.2">
      <c r="A25" s="24"/>
      <c r="B25" s="13"/>
      <c r="C25" s="13"/>
      <c r="D25" s="13"/>
      <c r="E25" s="13"/>
      <c r="F25" s="13"/>
      <c r="G25" s="13"/>
      <c r="H25" s="13"/>
      <c r="I25" s="24"/>
      <c r="J25" s="13"/>
      <c r="K25" s="13"/>
      <c r="L25" s="13"/>
      <c r="M25" s="13"/>
      <c r="N25" s="13"/>
      <c r="O25" s="13"/>
      <c r="P25" s="14"/>
      <c r="Q25" s="22"/>
      <c r="R25" s="22"/>
      <c r="S25" s="22"/>
      <c r="T25" s="22"/>
      <c r="U25" s="23">
        <f t="shared" si="4"/>
        <v>0</v>
      </c>
      <c r="AC25" s="23">
        <v>220</v>
      </c>
      <c r="AD25" s="23">
        <f t="shared" si="1"/>
        <v>23.772751066826011</v>
      </c>
      <c r="AE25" s="23">
        <f t="array" ref="AE25:AG25">FLEXCOMPBIAXRN($B$4,$B$5,$B$6,$B$14,$B$15,$B$16,$B$17,$B$10,$B$11,$B$12,$B$7,AC25,AD25,$B$3,$B$13)</f>
        <v>3.121264760150666E-2</v>
      </c>
      <c r="AF25" s="23">
        <v>-2050.347042323388</v>
      </c>
      <c r="AG25" s="23">
        <v>-2335.8477699281812</v>
      </c>
      <c r="AI25" s="23">
        <v>220</v>
      </c>
      <c r="AJ25" s="23">
        <f t="shared" si="2"/>
        <v>23.772751066826011</v>
      </c>
      <c r="AK25" s="23">
        <f t="array" ref="AK25:AM25">FLEXCOMPBIAXRN($B$4,$B$5,$B$6,$B$14,$B$15,$B$16,$B$17,$B$10,$B$11,$B$12,$B$7,AI25,AJ25,$B$3,$B$13)</f>
        <v>3.121264760150666E-2</v>
      </c>
      <c r="AL25" s="23">
        <v>-2050.347042323388</v>
      </c>
      <c r="AM25" s="23">
        <v>-2335.8477699281812</v>
      </c>
      <c r="AO25" s="23">
        <v>-229.72088719633859</v>
      </c>
      <c r="AP25" s="23">
        <v>-2240.1974055455971</v>
      </c>
      <c r="AQ25" s="23">
        <v>-3185.1572432218832</v>
      </c>
      <c r="AR25" s="23">
        <f t="shared" si="3"/>
        <v>-3886.8961134675856</v>
      </c>
    </row>
    <row r="26" spans="1:44" x14ac:dyDescent="0.2">
      <c r="A26" s="24"/>
      <c r="B26" s="13"/>
      <c r="C26" s="13"/>
      <c r="D26" s="13"/>
      <c r="E26" s="13"/>
      <c r="F26" s="13"/>
      <c r="G26" s="13"/>
      <c r="H26" s="13"/>
      <c r="I26" s="24"/>
      <c r="J26" s="13"/>
      <c r="K26" s="13"/>
      <c r="L26" s="13"/>
      <c r="M26" s="13"/>
      <c r="N26" s="13"/>
      <c r="O26" s="13"/>
      <c r="P26" s="14"/>
      <c r="Q26" s="22"/>
      <c r="R26" s="22"/>
      <c r="S26" s="22"/>
      <c r="T26" s="22"/>
      <c r="U26" s="23">
        <f t="shared" si="4"/>
        <v>0</v>
      </c>
      <c r="AC26" s="23">
        <v>230</v>
      </c>
      <c r="AD26" s="23">
        <f t="shared" si="1"/>
        <v>23.772751066826011</v>
      </c>
      <c r="AE26" s="23">
        <f t="array" ref="AE26:AG26">FLEXCOMPBIAXRN($B$4,$B$5,$B$6,$B$14,$B$15,$B$16,$B$17,$B$10,$B$11,$B$12,$B$7,AC26,AD26,$B$3,$B$13)</f>
        <v>3.121264760150666E-2</v>
      </c>
      <c r="AF26" s="23">
        <v>-2335.8477699281802</v>
      </c>
      <c r="AG26" s="23">
        <v>-2050.347042323388</v>
      </c>
      <c r="AI26" s="23">
        <v>230</v>
      </c>
      <c r="AJ26" s="23">
        <f t="shared" si="2"/>
        <v>23.772751066826011</v>
      </c>
      <c r="AK26" s="23">
        <f t="array" ref="AK26:AM26">FLEXCOMPBIAXRN($B$4,$B$5,$B$6,$B$14,$B$15,$B$16,$B$17,$B$10,$B$11,$B$12,$B$7,AI26,AJ26,$B$3,$B$13)</f>
        <v>3.121264760150666E-2</v>
      </c>
      <c r="AL26" s="23">
        <v>-2335.8477699281802</v>
      </c>
      <c r="AM26" s="23">
        <v>-2050.347042323388</v>
      </c>
      <c r="AO26" s="23">
        <v>-288.30848665471865</v>
      </c>
      <c r="AP26" s="23">
        <v>-2159.6477328062902</v>
      </c>
      <c r="AQ26" s="23">
        <v>-2910.2608290520061</v>
      </c>
      <c r="AR26" s="23">
        <f t="shared" si="3"/>
        <v>-3621.797800033436</v>
      </c>
    </row>
    <row r="27" spans="1:44" x14ac:dyDescent="0.2">
      <c r="A27" s="24"/>
      <c r="B27" s="13"/>
      <c r="C27" s="13"/>
      <c r="D27" s="13"/>
      <c r="E27" s="13"/>
      <c r="F27" s="13"/>
      <c r="G27" s="13"/>
      <c r="H27" s="13"/>
      <c r="I27" s="24"/>
      <c r="J27" s="13"/>
      <c r="K27" s="13"/>
      <c r="L27" s="13"/>
      <c r="M27" s="13"/>
      <c r="N27" s="13"/>
      <c r="O27" s="13"/>
      <c r="P27" s="14"/>
      <c r="Q27" s="22"/>
      <c r="R27" s="22"/>
      <c r="S27" s="22"/>
      <c r="T27" s="22"/>
      <c r="U27" s="23">
        <f t="shared" si="4"/>
        <v>0</v>
      </c>
      <c r="AC27" s="23">
        <v>240</v>
      </c>
      <c r="AD27" s="23">
        <f t="shared" si="1"/>
        <v>22.262528881317259</v>
      </c>
      <c r="AE27" s="23">
        <f t="array" ref="AE27:AG27">FLEXCOMPBIAXRN($B$4,$B$5,$B$6,$B$14,$B$15,$B$16,$B$17,$B$10,$B$11,$B$12,$B$7,AC27,AD27,$B$3,$B$13)</f>
        <v>1.5111705863347424E-2</v>
      </c>
      <c r="AF27" s="23">
        <v>-2539.7888418670836</v>
      </c>
      <c r="AG27" s="23">
        <v>-1748.8680811168997</v>
      </c>
      <c r="AI27" s="23">
        <v>240</v>
      </c>
      <c r="AJ27" s="23">
        <f t="shared" si="2"/>
        <v>22.262528881317259</v>
      </c>
      <c r="AK27" s="23">
        <f t="array" ref="AK27:AM27">FLEXCOMPBIAXRN($B$4,$B$5,$B$6,$B$14,$B$15,$B$16,$B$17,$B$10,$B$11,$B$12,$B$7,AI27,AJ27,$B$3,$B$13)</f>
        <v>1.5111705863347424E-2</v>
      </c>
      <c r="AL27" s="23">
        <v>-2539.7888418670836</v>
      </c>
      <c r="AM27" s="23">
        <v>-1748.8680811168997</v>
      </c>
      <c r="AO27" s="23">
        <v>-353.37636807359945</v>
      </c>
      <c r="AP27" s="23">
        <v>-1889.6951336870184</v>
      </c>
      <c r="AQ27" s="23">
        <v>-2342.8729283463558</v>
      </c>
      <c r="AR27" s="23">
        <f t="shared" si="3"/>
        <v>-3009.944292385298</v>
      </c>
    </row>
    <row r="28" spans="1:44" x14ac:dyDescent="0.2">
      <c r="A28" s="24"/>
      <c r="B28" s="13"/>
      <c r="C28" s="13"/>
      <c r="D28" s="13"/>
      <c r="E28" s="13"/>
      <c r="F28" s="13"/>
      <c r="G28" s="13"/>
      <c r="H28" s="13"/>
      <c r="I28" s="24"/>
      <c r="J28" s="13"/>
      <c r="K28" s="13"/>
      <c r="L28" s="13"/>
      <c r="M28" s="13"/>
      <c r="N28" s="13"/>
      <c r="O28" s="13"/>
      <c r="P28" s="14"/>
      <c r="Q28" s="22"/>
      <c r="R28" s="22"/>
      <c r="S28" s="22"/>
      <c r="T28" s="22"/>
      <c r="U28" s="23">
        <f t="shared" si="4"/>
        <v>0</v>
      </c>
      <c r="AC28" s="23">
        <v>250</v>
      </c>
      <c r="AD28" s="23">
        <f t="shared" si="1"/>
        <v>19.233905563250296</v>
      </c>
      <c r="AE28" s="23">
        <f t="array" ref="AE28:AG28">FLEXCOMPBIAXRN($B$4,$B$5,$B$6,$B$14,$B$15,$B$16,$B$17,$B$10,$B$11,$B$12,$B$7,AC28,AD28,$B$3,$B$13)</f>
        <v>-2.4572600502267505E-2</v>
      </c>
      <c r="AF28" s="23">
        <v>-2719.4814311520681</v>
      </c>
      <c r="AG28" s="23">
        <v>-1330.235696546416</v>
      </c>
      <c r="AI28" s="23">
        <v>250</v>
      </c>
      <c r="AJ28" s="23">
        <f t="shared" si="2"/>
        <v>19.233905563250296</v>
      </c>
      <c r="AK28" s="23">
        <f t="array" ref="AK28:AM28">FLEXCOMPBIAXRN($B$4,$B$5,$B$6,$B$14,$B$15,$B$16,$B$17,$B$10,$B$11,$B$12,$B$7,AI28,AJ28,$B$3,$B$13)</f>
        <v>-2.4572600502267505E-2</v>
      </c>
      <c r="AL28" s="23">
        <v>-2719.4814311520681</v>
      </c>
      <c r="AM28" s="23">
        <v>-1330.235696546416</v>
      </c>
      <c r="AO28" s="23">
        <v>-401.42505629724667</v>
      </c>
      <c r="AP28" s="23">
        <v>-1284.9369185960616</v>
      </c>
      <c r="AQ28" s="23">
        <v>-1494.9499065370574</v>
      </c>
      <c r="AR28" s="23">
        <f t="shared" si="3"/>
        <v>-1969.9747111594115</v>
      </c>
    </row>
    <row r="29" spans="1:44" x14ac:dyDescent="0.2">
      <c r="A29" s="24"/>
      <c r="B29" s="13"/>
      <c r="C29" s="13"/>
      <c r="D29" s="13"/>
      <c r="E29" s="13"/>
      <c r="F29" s="13"/>
      <c r="G29" s="13"/>
      <c r="H29" s="13"/>
      <c r="I29" s="24"/>
      <c r="J29" s="13"/>
      <c r="K29" s="13"/>
      <c r="L29" s="13"/>
      <c r="M29" s="13"/>
      <c r="N29" s="13"/>
      <c r="O29" s="13"/>
      <c r="P29" s="14"/>
      <c r="Q29" s="22"/>
      <c r="R29" s="22"/>
      <c r="S29" s="22"/>
      <c r="T29" s="22"/>
      <c r="U29" s="23">
        <f t="shared" si="4"/>
        <v>0</v>
      </c>
      <c r="AC29" s="23">
        <v>260</v>
      </c>
      <c r="AD29" s="23">
        <f t="shared" si="1"/>
        <v>14.501557562416863</v>
      </c>
      <c r="AE29" s="23">
        <f t="array" ref="AE29:AG29">FLEXCOMPBIAXRN($B$4,$B$5,$B$6,$B$14,$B$15,$B$16,$B$17,$B$10,$B$11,$B$12,$B$7,AC29,AD29,$B$3,$B$13)</f>
        <v>1.0353971036010989E-2</v>
      </c>
      <c r="AF29" s="23">
        <v>-2886.5874684322944</v>
      </c>
      <c r="AG29" s="23">
        <v>-696.07117402115989</v>
      </c>
      <c r="AI29" s="23">
        <v>260</v>
      </c>
      <c r="AJ29" s="23">
        <f t="shared" si="2"/>
        <v>14.501557562416863</v>
      </c>
      <c r="AK29" s="23">
        <f t="array" ref="AK29:AM29">FLEXCOMPBIAXRN($B$4,$B$5,$B$6,$B$14,$B$15,$B$16,$B$17,$B$10,$B$11,$B$12,$B$7,AI29,AJ29,$B$3,$B$13)</f>
        <v>1.0353971036010989E-2</v>
      </c>
      <c r="AL29" s="23">
        <v>-2886.5874684322944</v>
      </c>
      <c r="AM29" s="23">
        <v>-696.07117402115989</v>
      </c>
      <c r="AO29" s="23">
        <v>-401.42505629724667</v>
      </c>
      <c r="AP29" s="23">
        <v>-778.32546182231738</v>
      </c>
      <c r="AQ29" s="23">
        <v>-892.66405322052901</v>
      </c>
      <c r="AR29" s="23">
        <f t="shared" si="3"/>
        <v>-1183.2128945039858</v>
      </c>
    </row>
    <row r="30" spans="1:44" x14ac:dyDescent="0.2">
      <c r="A30" s="24"/>
      <c r="B30" s="13"/>
      <c r="C30" s="13"/>
      <c r="D30" s="13"/>
      <c r="E30" s="13"/>
      <c r="F30" s="13"/>
      <c r="G30" s="13"/>
      <c r="H30" s="13"/>
      <c r="I30" s="24"/>
      <c r="J30" s="13"/>
      <c r="K30" s="13"/>
      <c r="L30" s="13"/>
      <c r="M30" s="13"/>
      <c r="N30" s="13"/>
      <c r="O30" s="13"/>
      <c r="P30" s="14"/>
      <c r="Q30" s="22"/>
      <c r="R30" s="22"/>
      <c r="S30" s="22"/>
      <c r="T30" s="22"/>
      <c r="U30" s="23">
        <f t="shared" si="4"/>
        <v>0</v>
      </c>
      <c r="AC30" s="23">
        <v>270</v>
      </c>
      <c r="AD30" s="23">
        <f t="shared" si="1"/>
        <v>8.9199829101562536</v>
      </c>
      <c r="AE30" s="23">
        <f t="array" ref="AE30:AG30">FLEXCOMPBIAXRN($B$4,$B$5,$B$6,$B$14,$B$15,$B$16,$B$17,$B$10,$B$11,$B$12,$B$7,AC30,AD30,$B$3,$B$13)</f>
        <v>-7.9004909446780403E-3</v>
      </c>
      <c r="AF30" s="23">
        <v>-2966.8839118573696</v>
      </c>
      <c r="AG30" s="23">
        <v>-8.2298320864965108E-13</v>
      </c>
      <c r="AI30" s="23">
        <v>270</v>
      </c>
      <c r="AJ30" s="23">
        <f t="shared" si="2"/>
        <v>8.9199829101562536</v>
      </c>
      <c r="AK30" s="23">
        <f t="array" ref="AK30:AM30">FLEXCOMPBIAXRN($B$4,$B$5,$B$6,$B$14,$B$15,$B$16,$B$17,$B$10,$B$11,$B$12,$B$7,AI30,AJ30,$B$3,$B$13)</f>
        <v>-7.9004909446780403E-3</v>
      </c>
      <c r="AL30" s="23">
        <v>-2966.8839118573696</v>
      </c>
      <c r="AM30" s="23">
        <v>-8.2298320864965108E-13</v>
      </c>
      <c r="AO30" s="27">
        <v>-401.42505629724667</v>
      </c>
      <c r="AP30" s="27">
        <v>9.6521646020632495E-14</v>
      </c>
      <c r="AQ30" s="27">
        <v>-5.2503338795763529E-14</v>
      </c>
      <c r="AR30" s="27">
        <f t="shared" si="3"/>
        <v>1.9177636213568934E-14</v>
      </c>
    </row>
    <row r="31" spans="1:44" x14ac:dyDescent="0.2">
      <c r="A31" s="24"/>
      <c r="B31" s="13"/>
      <c r="C31" s="13"/>
      <c r="D31" s="13"/>
      <c r="E31" s="13"/>
      <c r="F31" s="13"/>
      <c r="G31" s="13"/>
      <c r="H31" s="13"/>
      <c r="I31" s="24"/>
      <c r="J31" s="13"/>
      <c r="K31" s="13"/>
      <c r="L31" s="13"/>
      <c r="M31" s="13"/>
      <c r="N31" s="13"/>
      <c r="O31" s="13"/>
      <c r="P31" s="14"/>
      <c r="Q31" s="22"/>
      <c r="R31" s="22"/>
      <c r="S31" s="22"/>
      <c r="T31" s="22"/>
      <c r="U31" s="23">
        <f t="shared" si="4"/>
        <v>0</v>
      </c>
      <c r="AC31" s="23">
        <v>280</v>
      </c>
      <c r="AD31" s="23">
        <f t="shared" si="1"/>
        <v>14.50155756241686</v>
      </c>
      <c r="AE31" s="23">
        <f t="array" ref="AE31:AG31">FLEXCOMPBIAXRN($B$4,$B$5,$B$6,$B$14,$B$15,$B$16,$B$17,$B$10,$B$11,$B$12,$B$7,AC31,AD31,$B$3,$B$13)</f>
        <v>1.0353971035954146E-2</v>
      </c>
      <c r="AF31" s="23">
        <v>-2886.5874684322957</v>
      </c>
      <c r="AG31" s="23">
        <v>696.07117402115853</v>
      </c>
      <c r="AI31" s="23">
        <v>280</v>
      </c>
      <c r="AJ31" s="23">
        <f t="shared" si="2"/>
        <v>14.50155756241686</v>
      </c>
      <c r="AK31" s="23">
        <f t="array" ref="AK31:AM31">FLEXCOMPBIAXRN($B$4,$B$5,$B$6,$B$14,$B$15,$B$16,$B$17,$B$10,$B$11,$B$12,$B$7,AI31,AJ31,$B$3,$B$13)</f>
        <v>1.0353971035954146E-2</v>
      </c>
      <c r="AL31" s="23">
        <v>-2886.5874684322957</v>
      </c>
      <c r="AM31" s="23">
        <v>696.07117402115853</v>
      </c>
    </row>
    <row r="32" spans="1:44" x14ac:dyDescent="0.2">
      <c r="A32" s="24"/>
      <c r="B32" s="13"/>
      <c r="C32" s="13"/>
      <c r="D32" s="13"/>
      <c r="E32" s="13"/>
      <c r="F32" s="13"/>
      <c r="G32" s="13"/>
      <c r="H32" s="13"/>
      <c r="I32" s="24"/>
      <c r="J32" s="13"/>
      <c r="K32" s="13"/>
      <c r="L32" s="13"/>
      <c r="M32" s="13"/>
      <c r="N32" s="13"/>
      <c r="O32" s="13"/>
      <c r="P32" s="14"/>
      <c r="Q32" s="22"/>
      <c r="R32" s="22"/>
      <c r="S32" s="22"/>
      <c r="T32" s="22"/>
      <c r="U32" s="23">
        <f t="shared" si="4"/>
        <v>0</v>
      </c>
      <c r="AC32" s="23">
        <v>290</v>
      </c>
      <c r="AD32" s="23">
        <f t="shared" si="1"/>
        <v>19.233905563250296</v>
      </c>
      <c r="AE32" s="23">
        <f t="array" ref="AE32:AG32">FLEXCOMPBIAXRN($B$4,$B$5,$B$6,$B$14,$B$15,$B$16,$B$17,$B$10,$B$11,$B$12,$B$7,AC32,AD32,$B$3,$B$13)</f>
        <v>-2.4572600502324349E-2</v>
      </c>
      <c r="AF32" s="23">
        <v>-2719.4814311520704</v>
      </c>
      <c r="AG32" s="23">
        <v>1330.2356965464153</v>
      </c>
      <c r="AI32" s="23">
        <v>290</v>
      </c>
      <c r="AJ32" s="23">
        <f t="shared" si="2"/>
        <v>19.233905563250296</v>
      </c>
      <c r="AK32" s="23">
        <f t="array" ref="AK32:AM32">FLEXCOMPBIAXRN($B$4,$B$5,$B$6,$B$14,$B$15,$B$16,$B$17,$B$10,$B$11,$B$12,$B$7,AI32,AJ32,$B$3,$B$13)</f>
        <v>-2.4572600502324349E-2</v>
      </c>
      <c r="AL32" s="23">
        <v>-2719.4814311520704</v>
      </c>
      <c r="AM32" s="23">
        <v>1330.2356965464153</v>
      </c>
    </row>
    <row r="33" spans="1:45" x14ac:dyDescent="0.2">
      <c r="A33" s="24"/>
      <c r="B33" s="13"/>
      <c r="C33" s="13"/>
      <c r="D33" s="13"/>
      <c r="E33" s="13"/>
      <c r="F33" s="13"/>
      <c r="G33" s="13"/>
      <c r="H33" s="13"/>
      <c r="I33" s="24"/>
      <c r="J33" s="13"/>
      <c r="K33" s="13"/>
      <c r="L33" s="13"/>
      <c r="M33" s="13"/>
      <c r="N33" s="13"/>
      <c r="O33" s="13"/>
      <c r="P33" s="14"/>
      <c r="Q33" s="22"/>
      <c r="R33" s="22"/>
      <c r="S33" s="22"/>
      <c r="T33" s="22"/>
      <c r="U33" s="23">
        <f t="shared" si="4"/>
        <v>0</v>
      </c>
      <c r="AC33" s="23">
        <v>300</v>
      </c>
      <c r="AD33" s="23">
        <f t="shared" si="1"/>
        <v>22.262528881317252</v>
      </c>
      <c r="AE33" s="23">
        <f t="array" ref="AE33:AG33">FLEXCOMPBIAXRN($B$4,$B$5,$B$6,$B$14,$B$15,$B$16,$B$17,$B$10,$B$11,$B$12,$B$7,AC33,AD33,$B$3,$B$13)</f>
        <v>1.5111705863361635E-2</v>
      </c>
      <c r="AF33" s="23">
        <v>-2539.7888418670823</v>
      </c>
      <c r="AG33" s="23">
        <v>1748.8680811168983</v>
      </c>
      <c r="AI33" s="23">
        <v>300</v>
      </c>
      <c r="AJ33" s="23">
        <f t="shared" si="2"/>
        <v>22.262528881317252</v>
      </c>
      <c r="AK33" s="23">
        <f t="array" ref="AK33:AM33">FLEXCOMPBIAXRN($B$4,$B$5,$B$6,$B$14,$B$15,$B$16,$B$17,$B$10,$B$11,$B$12,$B$7,AI33,AJ33,$B$3,$B$13)</f>
        <v>1.5111705863361635E-2</v>
      </c>
      <c r="AL33" s="23">
        <v>-2539.7888418670823</v>
      </c>
      <c r="AM33" s="23">
        <v>1748.8680811168983</v>
      </c>
    </row>
    <row r="34" spans="1:45" x14ac:dyDescent="0.2">
      <c r="A34" s="24"/>
      <c r="B34" s="13"/>
      <c r="C34" s="13"/>
      <c r="D34" s="13"/>
      <c r="E34" s="13"/>
      <c r="F34" s="13"/>
      <c r="G34" s="13"/>
      <c r="H34" s="13"/>
      <c r="I34" s="24"/>
      <c r="J34" s="13"/>
      <c r="K34" s="13"/>
      <c r="L34" s="13"/>
      <c r="M34" s="13"/>
      <c r="N34" s="13"/>
      <c r="O34" s="13"/>
      <c r="P34" s="14"/>
      <c r="Q34" s="22"/>
      <c r="R34" s="22"/>
      <c r="S34" s="22"/>
      <c r="T34" s="22"/>
      <c r="U34" s="23">
        <f t="shared" si="4"/>
        <v>0</v>
      </c>
      <c r="AC34" s="23">
        <v>310</v>
      </c>
      <c r="AD34" s="23">
        <f t="shared" si="1"/>
        <v>23.772751066826011</v>
      </c>
      <c r="AE34" s="23">
        <f t="array" ref="AE34:AG34">FLEXCOMPBIAXRN($B$4,$B$5,$B$6,$B$14,$B$15,$B$16,$B$17,$B$10,$B$11,$B$12,$B$7,AC34,AD34,$B$3,$B$13)</f>
        <v>3.1212647601492449E-2</v>
      </c>
      <c r="AF34" s="23">
        <v>-2335.8477699281812</v>
      </c>
      <c r="AG34" s="23">
        <v>2050.3470423233875</v>
      </c>
      <c r="AI34" s="23">
        <v>310</v>
      </c>
      <c r="AJ34" s="23">
        <f t="shared" si="2"/>
        <v>23.772751066826011</v>
      </c>
      <c r="AK34" s="23">
        <f t="array" ref="AK34:AM34">FLEXCOMPBIAXRN($B$4,$B$5,$B$6,$B$14,$B$15,$B$16,$B$17,$B$10,$B$11,$B$12,$B$7,AI34,AJ34,$B$3,$B$13)</f>
        <v>3.1212647601492449E-2</v>
      </c>
      <c r="AL34" s="23">
        <v>-2335.8477699281812</v>
      </c>
      <c r="AM34" s="23">
        <v>2050.3470423233875</v>
      </c>
    </row>
    <row r="35" spans="1:45" x14ac:dyDescent="0.2">
      <c r="A35" s="24"/>
      <c r="B35" s="13"/>
      <c r="C35" s="13"/>
      <c r="D35" s="13"/>
      <c r="E35" s="13"/>
      <c r="F35" s="13"/>
      <c r="G35" s="13"/>
      <c r="H35" s="13"/>
      <c r="I35" s="24"/>
      <c r="J35" s="13"/>
      <c r="K35" s="13"/>
      <c r="L35" s="13"/>
      <c r="M35" s="13"/>
      <c r="N35" s="13"/>
      <c r="O35" s="13"/>
      <c r="P35" s="14"/>
      <c r="Q35" s="22"/>
      <c r="R35" s="22"/>
      <c r="S35" s="22"/>
      <c r="T35" s="22"/>
      <c r="U35" s="23">
        <f t="shared" si="4"/>
        <v>0</v>
      </c>
      <c r="AC35" s="23">
        <v>320</v>
      </c>
      <c r="AD35" s="23">
        <f t="shared" si="1"/>
        <v>23.772751066826011</v>
      </c>
      <c r="AE35" s="23">
        <f t="array" ref="AE35:AG35">FLEXCOMPBIAXRN($B$4,$B$5,$B$6,$B$14,$B$15,$B$16,$B$17,$B$10,$B$11,$B$12,$B$7,AC35,AD35,$B$3,$B$13)</f>
        <v>3.1212647601520871E-2</v>
      </c>
      <c r="AF35" s="23">
        <v>-2050.347042323388</v>
      </c>
      <c r="AG35" s="23">
        <v>2335.8477699281802</v>
      </c>
      <c r="AI35" s="23">
        <v>320</v>
      </c>
      <c r="AJ35" s="23">
        <f t="shared" si="2"/>
        <v>23.772751066826011</v>
      </c>
      <c r="AK35" s="23">
        <f t="array" ref="AK35:AM35">FLEXCOMPBIAXRN($B$4,$B$5,$B$6,$B$14,$B$15,$B$16,$B$17,$B$10,$B$11,$B$12,$B$7,AI35,AJ35,$B$3,$B$13)</f>
        <v>3.1212647601520871E-2</v>
      </c>
      <c r="AL35" s="23">
        <v>-2050.347042323388</v>
      </c>
      <c r="AM35" s="23">
        <v>2335.8477699281802</v>
      </c>
    </row>
    <row r="36" spans="1:45" x14ac:dyDescent="0.2">
      <c r="A36" s="24"/>
      <c r="B36" s="13"/>
      <c r="C36" s="13"/>
      <c r="D36" s="13"/>
      <c r="E36" s="13"/>
      <c r="F36" s="13"/>
      <c r="G36" s="13"/>
      <c r="H36" s="13"/>
      <c r="I36" s="24"/>
      <c r="J36" s="13"/>
      <c r="K36" s="13"/>
      <c r="L36" s="13"/>
      <c r="M36" s="13"/>
      <c r="N36" s="13"/>
      <c r="O36" s="13"/>
      <c r="P36" s="14"/>
      <c r="Q36" s="22"/>
      <c r="R36" s="22"/>
      <c r="S36" s="22"/>
      <c r="T36" s="22"/>
      <c r="U36" s="23">
        <f t="shared" si="4"/>
        <v>0</v>
      </c>
      <c r="AC36" s="23">
        <v>330</v>
      </c>
      <c r="AD36" s="23">
        <f t="shared" si="1"/>
        <v>22.262528881317259</v>
      </c>
      <c r="AE36" s="23">
        <f t="array" ref="AE36:AG36">FLEXCOMPBIAXRN($B$4,$B$5,$B$6,$B$14,$B$15,$B$16,$B$17,$B$10,$B$11,$B$12,$B$7,AC36,AD36,$B$3,$B$13)</f>
        <v>1.5111705863333214E-2</v>
      </c>
      <c r="AF36" s="23">
        <v>-1748.8680811168995</v>
      </c>
      <c r="AG36" s="23">
        <v>2539.7888418670832</v>
      </c>
      <c r="AI36" s="23">
        <v>330</v>
      </c>
      <c r="AJ36" s="23">
        <f t="shared" si="2"/>
        <v>22.262528881317259</v>
      </c>
      <c r="AK36" s="23">
        <f t="array" ref="AK36:AM36">FLEXCOMPBIAXRN($B$4,$B$5,$B$6,$B$14,$B$15,$B$16,$B$17,$B$10,$B$11,$B$12,$B$7,AI36,AJ36,$B$3,$B$13)</f>
        <v>1.5111705863333214E-2</v>
      </c>
      <c r="AL36" s="23">
        <v>-1748.8680811168995</v>
      </c>
      <c r="AM36" s="23">
        <v>2539.7888418670832</v>
      </c>
    </row>
    <row r="37" spans="1:45" x14ac:dyDescent="0.2">
      <c r="A37" s="24"/>
      <c r="B37" s="13"/>
      <c r="C37" s="13"/>
      <c r="D37" s="13"/>
      <c r="E37" s="13"/>
      <c r="F37" s="13"/>
      <c r="G37" s="13"/>
      <c r="H37" s="13"/>
      <c r="I37" s="24"/>
      <c r="J37" s="13"/>
      <c r="K37" s="13"/>
      <c r="L37" s="13"/>
      <c r="M37" s="13"/>
      <c r="N37" s="13"/>
      <c r="O37" s="13"/>
      <c r="P37" s="14"/>
      <c r="Q37" s="22"/>
      <c r="R37" s="22"/>
      <c r="S37" s="22"/>
      <c r="T37" s="22"/>
      <c r="U37" s="23">
        <f t="shared" si="4"/>
        <v>0</v>
      </c>
      <c r="AC37" s="23">
        <v>340</v>
      </c>
      <c r="AD37" s="23">
        <f t="shared" si="1"/>
        <v>19.233905563250296</v>
      </c>
      <c r="AE37" s="23">
        <f t="array" ref="AE37:AG37">FLEXCOMPBIAXRN($B$4,$B$5,$B$6,$B$14,$B$15,$B$16,$B$17,$B$10,$B$11,$B$12,$B$7,AC37,AD37,$B$3,$B$13)</f>
        <v>-2.4572600502267505E-2</v>
      </c>
      <c r="AF37" s="23">
        <v>-1330.2356965464164</v>
      </c>
      <c r="AG37" s="23">
        <v>2719.4814311520686</v>
      </c>
      <c r="AI37" s="23">
        <v>340</v>
      </c>
      <c r="AJ37" s="23">
        <f t="shared" si="2"/>
        <v>19.233905563250296</v>
      </c>
      <c r="AK37" s="23">
        <f t="array" ref="AK37:AM37">FLEXCOMPBIAXRN($B$4,$B$5,$B$6,$B$14,$B$15,$B$16,$B$17,$B$10,$B$11,$B$12,$B$7,AI37,AJ37,$B$3,$B$13)</f>
        <v>-2.4572600502267505E-2</v>
      </c>
      <c r="AL37" s="23">
        <v>-1330.2356965464164</v>
      </c>
      <c r="AM37" s="23">
        <v>2719.4814311520686</v>
      </c>
    </row>
    <row r="38" spans="1:45" x14ac:dyDescent="0.2">
      <c r="A38" s="24"/>
      <c r="B38" s="13"/>
      <c r="C38" s="13"/>
      <c r="D38" s="13"/>
      <c r="E38" s="13"/>
      <c r="F38" s="13"/>
      <c r="G38" s="13"/>
      <c r="H38" s="13"/>
      <c r="I38" s="24"/>
      <c r="J38" s="13"/>
      <c r="K38" s="13"/>
      <c r="L38" s="13"/>
      <c r="M38" s="13"/>
      <c r="N38" s="13"/>
      <c r="O38" s="13"/>
      <c r="P38" s="14"/>
      <c r="Q38" s="22"/>
      <c r="R38" s="22"/>
      <c r="S38" s="22"/>
      <c r="T38" s="22"/>
      <c r="U38" s="23">
        <f t="shared" si="4"/>
        <v>0</v>
      </c>
      <c r="AC38" s="23">
        <v>350</v>
      </c>
      <c r="AD38" s="23">
        <f t="shared" si="1"/>
        <v>14.501557562416863</v>
      </c>
      <c r="AE38" s="23">
        <f t="array" ref="AE38:AG38">FLEXCOMPBIAXRN($B$4,$B$5,$B$6,$B$14,$B$15,$B$16,$B$17,$B$10,$B$11,$B$12,$B$7,AC38,AD38,$B$3,$B$13)</f>
        <v>1.0353971036010989E-2</v>
      </c>
      <c r="AF38" s="23">
        <v>-696.07117402116023</v>
      </c>
      <c r="AG38" s="23">
        <v>2886.5874684322948</v>
      </c>
      <c r="AI38" s="23">
        <v>350</v>
      </c>
      <c r="AJ38" s="23">
        <f t="shared" si="2"/>
        <v>14.501557562416863</v>
      </c>
      <c r="AK38" s="23">
        <f t="array" ref="AK38:AM38">FLEXCOMPBIAXRN($B$4,$B$5,$B$6,$B$14,$B$15,$B$16,$B$17,$B$10,$B$11,$B$12,$B$7,AI38,AJ38,$B$3,$B$13)</f>
        <v>1.0353971036010989E-2</v>
      </c>
      <c r="AL38" s="23">
        <v>-696.07117402116023</v>
      </c>
      <c r="AM38" s="23">
        <v>2886.5874684322948</v>
      </c>
    </row>
    <row r="39" spans="1:45" x14ac:dyDescent="0.2">
      <c r="A39" s="24"/>
      <c r="B39" s="13"/>
      <c r="C39" s="13"/>
      <c r="D39" s="13"/>
      <c r="E39" s="13"/>
      <c r="F39" s="13"/>
      <c r="G39" s="13"/>
      <c r="H39" s="13"/>
      <c r="I39" s="24"/>
      <c r="J39" s="13"/>
      <c r="K39" s="13"/>
      <c r="L39" s="13"/>
      <c r="M39" s="13"/>
      <c r="N39" s="13"/>
      <c r="O39" s="13"/>
      <c r="P39" s="14"/>
      <c r="Q39" s="22"/>
      <c r="R39" s="22"/>
      <c r="S39" s="22"/>
      <c r="T39" s="22"/>
      <c r="U39" s="23">
        <f t="shared" si="4"/>
        <v>0</v>
      </c>
      <c r="AC39" s="27">
        <v>360</v>
      </c>
      <c r="AD39" s="27">
        <f>AD3</f>
        <v>8.91998291015625</v>
      </c>
      <c r="AE39" s="27">
        <f t="shared" ref="AE39:AF39" si="6">AE3</f>
        <v>-7.9004909446922511E-3</v>
      </c>
      <c r="AF39" s="27">
        <f t="shared" si="6"/>
        <v>-5.6843418860808015E-14</v>
      </c>
      <c r="AG39" s="27">
        <f>AG3</f>
        <v>2966.8839118573705</v>
      </c>
      <c r="AI39" s="27">
        <v>360</v>
      </c>
      <c r="AJ39" s="27">
        <f t="shared" si="2"/>
        <v>8.9199829101562536</v>
      </c>
      <c r="AK39" s="27">
        <f t="shared" ref="AK39:AL39" si="7">AK3</f>
        <v>-7.9004909446922511E-3</v>
      </c>
      <c r="AL39" s="27">
        <f t="shared" si="7"/>
        <v>-5.6843418860808015E-14</v>
      </c>
      <c r="AM39" s="27">
        <f>AM3</f>
        <v>2966.8839118573705</v>
      </c>
    </row>
    <row r="40" spans="1:45" x14ac:dyDescent="0.2">
      <c r="A40" s="24"/>
      <c r="B40" s="13"/>
      <c r="C40" s="13"/>
      <c r="D40" s="13"/>
      <c r="E40" s="13"/>
      <c r="F40" s="13"/>
      <c r="G40" s="13"/>
      <c r="H40" s="13"/>
      <c r="I40" s="24"/>
      <c r="J40" s="13"/>
      <c r="K40" s="13"/>
      <c r="L40" s="13"/>
      <c r="M40" s="13"/>
      <c r="N40" s="13"/>
      <c r="O40" s="13"/>
      <c r="P40" s="14"/>
      <c r="Q40" s="22"/>
      <c r="R40" s="22"/>
      <c r="S40" s="22"/>
      <c r="T40" s="22"/>
      <c r="U40" s="23">
        <f t="shared" si="4"/>
        <v>0</v>
      </c>
    </row>
    <row r="41" spans="1:45" x14ac:dyDescent="0.2">
      <c r="A41" s="24"/>
      <c r="B41" s="13"/>
      <c r="C41" s="13"/>
      <c r="D41" s="13"/>
      <c r="E41" s="13"/>
      <c r="F41" s="13"/>
      <c r="G41" s="13"/>
      <c r="H41" s="13"/>
      <c r="I41" s="24"/>
      <c r="J41" s="13"/>
      <c r="K41" s="13"/>
      <c r="L41" s="13"/>
      <c r="M41" s="13"/>
      <c r="N41" s="13"/>
      <c r="O41" s="13"/>
      <c r="P41" s="14"/>
      <c r="Q41" s="22"/>
      <c r="R41" s="22"/>
      <c r="S41" s="22"/>
      <c r="T41" s="22"/>
      <c r="U41" s="23">
        <f t="shared" si="4"/>
        <v>0</v>
      </c>
      <c r="AC41" s="7">
        <f>XCOMPRESSRN($B$4,$B$5,$B$6,$B$14,$B$15,$B$16,$B$17,$B$10,$B$11,$B$12,$B$7,B8,$AD$1,$B$3,$B$13)</f>
        <v>23.645166995705324</v>
      </c>
      <c r="AD41" s="7">
        <f t="array" ref="AD41:AF41">FLEXCOMPBIAXRN($B$4,$B$5,$B$6,$B$14,$B$15,$B$16,$B$17,$B$10,$B$11,$B$12,$B$7,B8,AC41,$B$3,$B$13)</f>
        <v>-1.2614223135827274E-2</v>
      </c>
      <c r="AE41" s="7">
        <v>2010.3842162303845</v>
      </c>
      <c r="AF41" s="7">
        <v>2365.5982565376898</v>
      </c>
      <c r="AG41" s="7">
        <f t="shared" ref="AG41:AG42" si="8">AF41*COS($X$6)+AE41*SIN($X$6)</f>
        <v>3102.9942682772994</v>
      </c>
      <c r="AI41" s="7">
        <f>XCOMPRESSRN($B$4,$B$5,$B$6,$B$14,$B$15,$B$16,$B$17,$B$10,$B$11,$B$12,$B$7,B8,$AJ$1,$B$3,$B$13)</f>
        <v>23.645166995705324</v>
      </c>
      <c r="AJ41" s="7">
        <f t="array" ref="AJ41:AL41">FLEXCOMPBIAXRN($B$4,$B$5,$B$6,$B$14,$B$15,$B$16,$B$17,$B$10,$B$11,$B$12,$B$7,B8,AI41,$B$3,$B$13)</f>
        <v>-1.2614223135827274E-2</v>
      </c>
      <c r="AK41" s="7">
        <v>2010.3842162303845</v>
      </c>
      <c r="AL41" s="7">
        <v>2365.5982565376898</v>
      </c>
      <c r="AM41" s="7">
        <f t="shared" ref="AM41:AM42" si="9">AL41*COS($X$6)+AK41*SIN($X$6)</f>
        <v>3102.9942682772994</v>
      </c>
    </row>
    <row r="42" spans="1:45" x14ac:dyDescent="0.2">
      <c r="A42" s="34"/>
      <c r="B42" s="35"/>
      <c r="C42" s="35"/>
      <c r="D42" s="35"/>
      <c r="E42" s="35"/>
      <c r="F42" s="35"/>
      <c r="G42" s="35"/>
      <c r="H42" s="35"/>
      <c r="I42" s="34"/>
      <c r="J42" s="35"/>
      <c r="K42" s="35"/>
      <c r="L42" s="35"/>
      <c r="M42" s="35"/>
      <c r="N42" s="35"/>
      <c r="O42" s="35"/>
      <c r="P42" s="37"/>
      <c r="Q42" s="40"/>
      <c r="R42" s="40"/>
      <c r="S42" s="40"/>
      <c r="T42" s="40"/>
      <c r="U42" s="27">
        <f t="shared" si="4"/>
        <v>0</v>
      </c>
      <c r="AC42" s="7">
        <f>XCOMPRESSRN($B$4,$B$5,$B$6,$B$14,$B$15,$B$16,$B$17,$B$10,$B$11,$B$12,$B$7,B8+180,$AD$1,$B$3,$B$13)</f>
        <v>23.645166995705324</v>
      </c>
      <c r="AD42" s="7">
        <f t="array" ref="AD42:AF42">FLEXCOMPBIAXRN($B$4,$B$5,$B$6,$B$14,$B$15,$B$16,$B$17,$B$10,$B$11,$B$12,$B$7,B8+180,AC42,$B$3,$B$13)</f>
        <v>-1.2614223135827274E-2</v>
      </c>
      <c r="AE42" s="7">
        <v>-2010.3842162303843</v>
      </c>
      <c r="AF42" s="7">
        <v>-2365.5982565376898</v>
      </c>
      <c r="AG42" s="7">
        <f t="shared" si="8"/>
        <v>-3102.9942682772989</v>
      </c>
      <c r="AI42" s="7">
        <f>XCOMPRESSRN($B$4,$B$5,$B$6,$B$14,$B$15,$B$16,$B$17,$B$10,$B$11,$B$12,$B$7,B8+180,$AJ$1,$B$3,$B$13)</f>
        <v>23.645166995705324</v>
      </c>
      <c r="AJ42" s="7">
        <f t="array" ref="AJ42:AL42">FLEXCOMPBIAXRN($B$4,$B$5,$B$6,$B$14,$B$15,$B$16,$B$17,$B$10,$B$11,$B$12,$B$7,B8+180,AI42,$B$3,$B$13)</f>
        <v>-1.2614223135827274E-2</v>
      </c>
      <c r="AK42" s="7">
        <v>-2010.3842162303843</v>
      </c>
      <c r="AL42" s="7">
        <v>-2365.5982565376898</v>
      </c>
      <c r="AM42" s="7">
        <f t="shared" si="9"/>
        <v>-3102.9942682772989</v>
      </c>
    </row>
    <row r="43" spans="1:45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</row>
    <row r="44" spans="1:45" x14ac:dyDescent="0.2">
      <c r="A44" s="3" t="s">
        <v>84</v>
      </c>
      <c r="B44" s="3" t="s">
        <v>85</v>
      </c>
      <c r="C44" s="3" t="s">
        <v>86</v>
      </c>
      <c r="D44" s="3" t="s">
        <v>87</v>
      </c>
      <c r="E44" s="3" t="s">
        <v>88</v>
      </c>
      <c r="F44" s="3" t="s">
        <v>89</v>
      </c>
      <c r="H44" s="3" t="s">
        <v>90</v>
      </c>
      <c r="I44" s="3" t="s">
        <v>91</v>
      </c>
      <c r="J44" s="3" t="s">
        <v>92</v>
      </c>
      <c r="K44" s="3" t="s">
        <v>93</v>
      </c>
      <c r="W44" s="3" t="s">
        <v>94</v>
      </c>
      <c r="X44" s="3" t="s">
        <v>95</v>
      </c>
      <c r="Y44" s="3" t="s">
        <v>96</v>
      </c>
      <c r="Z44" s="3" t="s">
        <v>97</v>
      </c>
      <c r="AA44" s="3" t="s">
        <v>98</v>
      </c>
      <c r="AB44" s="3" t="s">
        <v>99</v>
      </c>
      <c r="AC44" s="3" t="s">
        <v>100</v>
      </c>
      <c r="AD44" s="3" t="s">
        <v>101</v>
      </c>
      <c r="AE44" s="3" t="s">
        <v>102</v>
      </c>
      <c r="AF44" s="3" t="s">
        <v>103</v>
      </c>
      <c r="AG44" s="3" t="s">
        <v>104</v>
      </c>
      <c r="AH44" s="3" t="s">
        <v>105</v>
      </c>
      <c r="AI44" s="3" t="s">
        <v>106</v>
      </c>
    </row>
    <row r="45" spans="1:45" x14ac:dyDescent="0.2">
      <c r="A45" s="42">
        <f t="array" ref="A45:B49">CONCREC(B14,B15,B13)</f>
        <v>0</v>
      </c>
      <c r="B45" s="42">
        <v>0</v>
      </c>
      <c r="C45" s="42">
        <f ca="1">A45-$X$15</f>
        <v>-30.000000000000004</v>
      </c>
      <c r="D45" s="42">
        <f ca="1">B45-$X$16</f>
        <v>-30.000000000000004</v>
      </c>
      <c r="E45" s="42">
        <f ca="1">C45*COS($X$6)+D45*SIN($X$6)</f>
        <v>-42.161660342562556</v>
      </c>
      <c r="F45" s="42">
        <f ca="1">-C45*SIN($X$6)+D45*COS($X$6)</f>
        <v>-4.732271881283669</v>
      </c>
      <c r="H45" s="18">
        <f t="array" aca="1" ref="H45:I51" ca="1">VERTCOMPRES(E45:F49,X21)</f>
        <v>36.235579647793273</v>
      </c>
      <c r="I45" s="18">
        <f ca="1"/>
        <v>9.4622991120692177</v>
      </c>
      <c r="J45" s="18">
        <f t="shared" ref="J45:J51" ca="1" si="10">H45*COS($X$6)-I45*SIN($X$6)</f>
        <v>22.417679114882439</v>
      </c>
      <c r="K45" s="18">
        <f t="shared" ref="K45:K51" ca="1" si="11">H45*SIN($X$6)+I45*COS($X$6)</f>
        <v>29.999999999999993</v>
      </c>
      <c r="W45" s="42">
        <f t="array" ref="W45:Y72">REBARECN(B14,B15,B16,B17,B10,B11,B12,B7,B13)</f>
        <v>6.6</v>
      </c>
      <c r="X45" s="42">
        <v>6.6</v>
      </c>
      <c r="Y45" s="42">
        <v>2.0106192982974678</v>
      </c>
      <c r="Z45" s="18">
        <f t="shared" ref="Z45:Z72" ca="1" si="12">W45-$X$15</f>
        <v>-23.400000000000006</v>
      </c>
      <c r="AA45" s="18">
        <f t="shared" ref="AA45:AA72" ca="1" si="13">X45-$X$16</f>
        <v>-23.400000000000006</v>
      </c>
      <c r="AB45" s="18">
        <f t="shared" ref="AB45:AB72" ca="1" si="14">Z45*COS($X$6)+AA45*SIN($X$6)</f>
        <v>-32.886095067198802</v>
      </c>
      <c r="AC45" s="18">
        <f t="shared" ref="AC45:AC72" ca="1" si="15">-Z45*SIN($X$6)+AA45*COS($X$6)</f>
        <v>-3.6911720674012631</v>
      </c>
      <c r="AD45" s="18">
        <f t="shared" ref="AD45:AD72" ca="1" si="16">$X$18-AC45</f>
        <v>45.852832409963817</v>
      </c>
      <c r="AE45" s="18">
        <f t="shared" ref="AE45:AE72" ca="1" si="17">($B$9-AD45)*$AA$4</f>
        <v>0.57574944113499027</v>
      </c>
      <c r="AF45" s="18">
        <f t="shared" ref="AF45:AF72" ca="1" si="18">IF(ABS(AE45)&lt;$X$7,AE45*$B$6/1000,SIGN(AE45)*$B$5)-IF(AD45&lt;$X$20,$X$8)</f>
        <v>1.2090738263834797</v>
      </c>
      <c r="AG45" s="18">
        <f ca="1">Y45*AF45</f>
        <v>2.4309871683929862</v>
      </c>
      <c r="AH45" s="18">
        <f ca="1">AG45*AC45</f>
        <v>-8.9731919321830809</v>
      </c>
      <c r="AI45" s="18">
        <f ca="1">AG45*AB45</f>
        <v>-79.945675126912164</v>
      </c>
    </row>
    <row r="46" spans="1:45" x14ac:dyDescent="0.2">
      <c r="A46" s="43">
        <v>60</v>
      </c>
      <c r="B46" s="43">
        <v>0</v>
      </c>
      <c r="C46" s="43">
        <f ca="1">A46-$X$15</f>
        <v>29.999999999999996</v>
      </c>
      <c r="D46" s="43">
        <f ca="1">B46-$X$16</f>
        <v>-30.000000000000004</v>
      </c>
      <c r="E46" s="43">
        <f ca="1">C46*COS($X$6)+D46*SIN($X$6)</f>
        <v>4.7322718812836619</v>
      </c>
      <c r="F46" s="43">
        <f ca="1">-C46*SIN($X$6)+D46*COS($X$6)</f>
        <v>-42.161660342562556</v>
      </c>
      <c r="H46" s="23">
        <f ca="1"/>
        <v>-4.7322718812836726</v>
      </c>
      <c r="I46" s="23">
        <f ca="1"/>
        <v>42.161660342562556</v>
      </c>
      <c r="J46" s="23">
        <f t="shared" ca="1" si="10"/>
        <v>-30.000000000000007</v>
      </c>
      <c r="K46" s="23">
        <f t="shared" ca="1" si="11"/>
        <v>30</v>
      </c>
      <c r="W46" s="43">
        <v>53.4</v>
      </c>
      <c r="X46" s="43">
        <v>6.6</v>
      </c>
      <c r="Y46" s="43">
        <v>2.0106192982974678</v>
      </c>
      <c r="Z46" s="23">
        <f t="shared" ca="1" si="12"/>
        <v>23.399999999999995</v>
      </c>
      <c r="AA46" s="23">
        <f t="shared" ca="1" si="13"/>
        <v>-23.400000000000006</v>
      </c>
      <c r="AB46" s="23">
        <f t="shared" ca="1" si="14"/>
        <v>3.6911720674012525</v>
      </c>
      <c r="AC46" s="23">
        <f t="shared" ca="1" si="15"/>
        <v>-32.886095067198795</v>
      </c>
      <c r="AD46" s="23">
        <f t="shared" ca="1" si="16"/>
        <v>75.047755409761351</v>
      </c>
      <c r="AE46" s="23">
        <f t="shared" ca="1" si="17"/>
        <v>2.8524622223026888</v>
      </c>
      <c r="AF46" s="23">
        <f t="shared" ca="1" si="18"/>
        <v>4.1999998092651367</v>
      </c>
      <c r="AG46" s="23">
        <f t="shared" ref="AG46:AG72" ca="1" si="19">Y46*AF46</f>
        <v>8.444600669354168</v>
      </c>
      <c r="AH46" s="23">
        <f t="shared" ref="AH46:AH72" ca="1" si="20">AG46*AC46</f>
        <v>-277.70994041691176</v>
      </c>
      <c r="AI46" s="23">
        <f t="shared" ref="AI46:AI72" ca="1" si="21">AG46*AB46</f>
        <v>31.170474111078025</v>
      </c>
    </row>
    <row r="47" spans="1:45" x14ac:dyDescent="0.2">
      <c r="A47" s="43">
        <v>60</v>
      </c>
      <c r="B47" s="43">
        <v>60</v>
      </c>
      <c r="C47" s="43">
        <f ca="1">A47-$X$15</f>
        <v>29.999999999999996</v>
      </c>
      <c r="D47" s="43">
        <f ca="1">B47-$X$16</f>
        <v>29.999999999999996</v>
      </c>
      <c r="E47" s="43">
        <f ca="1">C47*COS($X$6)+D47*SIN($X$6)</f>
        <v>42.161660342562548</v>
      </c>
      <c r="F47" s="43">
        <f ca="1">-C47*SIN($X$6)+D47*COS($X$6)</f>
        <v>4.7322718812836655</v>
      </c>
      <c r="H47" s="23">
        <f ca="1"/>
        <v>-30.831961881463233</v>
      </c>
      <c r="I47" s="23">
        <f ca="1"/>
        <v>9.4622991120692177</v>
      </c>
      <c r="J47" s="23">
        <f t="shared" ca="1" si="10"/>
        <v>-30</v>
      </c>
      <c r="K47" s="23">
        <f t="shared" ca="1" si="11"/>
        <v>-11.83828441735827</v>
      </c>
      <c r="W47" s="43">
        <v>6.6</v>
      </c>
      <c r="X47" s="43">
        <v>53.4</v>
      </c>
      <c r="Y47" s="43">
        <v>2.0106192982974678</v>
      </c>
      <c r="Z47" s="23">
        <f t="shared" ca="1" si="12"/>
        <v>-23.400000000000006</v>
      </c>
      <c r="AA47" s="23">
        <f t="shared" ca="1" si="13"/>
        <v>23.399999999999995</v>
      </c>
      <c r="AB47" s="23">
        <f t="shared" ca="1" si="14"/>
        <v>-3.6911720674012702</v>
      </c>
      <c r="AC47" s="23">
        <f t="shared" ca="1" si="15"/>
        <v>32.886095067198788</v>
      </c>
      <c r="AD47" s="23">
        <f t="shared" ca="1" si="16"/>
        <v>9.2755652753637676</v>
      </c>
      <c r="AE47" s="23">
        <f t="shared" ca="1" si="17"/>
        <v>-2.2766619725243866</v>
      </c>
      <c r="AF47" s="23">
        <f t="shared" ca="1" si="18"/>
        <v>-4.0214998148381706</v>
      </c>
      <c r="AG47" s="23">
        <f t="shared" ca="1" si="19"/>
        <v>-8.0857051358133187</v>
      </c>
      <c r="AH47" s="23">
        <f t="shared" ca="1" si="20"/>
        <v>-265.90726778169426</v>
      </c>
      <c r="AI47" s="23">
        <f t="shared" ca="1" si="21"/>
        <v>29.845728942557116</v>
      </c>
    </row>
    <row r="48" spans="1:45" x14ac:dyDescent="0.2">
      <c r="A48" s="43">
        <v>0</v>
      </c>
      <c r="B48" s="43">
        <v>60</v>
      </c>
      <c r="C48" s="43">
        <f ca="1">A48-$X$15</f>
        <v>-30.000000000000004</v>
      </c>
      <c r="D48" s="43">
        <f ca="1">B48-$X$16</f>
        <v>29.999999999999996</v>
      </c>
      <c r="E48" s="43">
        <f ca="1">C48*COS($X$6)+D48*SIN($X$6)</f>
        <v>-4.7322718812836726</v>
      </c>
      <c r="F48" s="43">
        <f ca="1">-C48*SIN($X$6)+D48*COS($X$6)</f>
        <v>42.161660342562556</v>
      </c>
      <c r="H48" s="23">
        <f ca="1"/>
        <v>36.235579647793273</v>
      </c>
      <c r="I48" s="23">
        <f ca="1"/>
        <v>9.4622991120692177</v>
      </c>
      <c r="J48" s="23">
        <f t="shared" ca="1" si="10"/>
        <v>22.417679114882439</v>
      </c>
      <c r="K48" s="23">
        <f t="shared" ca="1" si="11"/>
        <v>29.999999999999993</v>
      </c>
      <c r="W48" s="43">
        <v>53.4</v>
      </c>
      <c r="X48" s="43">
        <v>53.4</v>
      </c>
      <c r="Y48" s="43">
        <v>2.0106192982974678</v>
      </c>
      <c r="Z48" s="23">
        <f t="shared" ca="1" si="12"/>
        <v>23.399999999999995</v>
      </c>
      <c r="AA48" s="23">
        <f t="shared" ca="1" si="13"/>
        <v>23.399999999999995</v>
      </c>
      <c r="AB48" s="23">
        <f t="shared" ca="1" si="14"/>
        <v>32.886095067198781</v>
      </c>
      <c r="AC48" s="23">
        <f t="shared" ca="1" si="15"/>
        <v>3.6911720674012596</v>
      </c>
      <c r="AD48" s="23">
        <f t="shared" ca="1" si="16"/>
        <v>38.470488275161294</v>
      </c>
      <c r="AE48" s="23">
        <f t="shared" ca="1" si="17"/>
        <v>5.0808643311591943E-5</v>
      </c>
      <c r="AF48" s="23">
        <f t="shared" ca="1" si="18"/>
        <v>1.0669815095434309E-4</v>
      </c>
      <c r="AG48" s="23">
        <f t="shared" ca="1" si="19"/>
        <v>2.145293614014586E-4</v>
      </c>
      <c r="AH48" s="23">
        <f t="shared" ca="1" si="20"/>
        <v>7.918647864424939E-4</v>
      </c>
      <c r="AI48" s="23">
        <f t="shared" ca="1" si="21"/>
        <v>7.0550329737538121E-3</v>
      </c>
    </row>
    <row r="49" spans="1:39" x14ac:dyDescent="0.2">
      <c r="A49" s="44">
        <v>0</v>
      </c>
      <c r="B49" s="44">
        <v>0</v>
      </c>
      <c r="C49" s="44">
        <f ca="1">A49-$X$15</f>
        <v>-30.000000000000004</v>
      </c>
      <c r="D49" s="44">
        <f ca="1">B49-$X$16</f>
        <v>-30.000000000000004</v>
      </c>
      <c r="E49" s="44">
        <f ca="1">C49*COS($X$6)+D49*SIN($X$6)</f>
        <v>-42.161660342562556</v>
      </c>
      <c r="F49" s="44">
        <f ca="1">-C49*SIN($X$6)+D49*COS($X$6)</f>
        <v>-4.732271881283669</v>
      </c>
      <c r="H49" s="23" t="e">
        <f ca="1"/>
        <v>#N/A</v>
      </c>
      <c r="I49" s="23" t="e">
        <f ca="1"/>
        <v>#N/A</v>
      </c>
      <c r="J49" s="23" t="e">
        <f t="shared" ca="1" si="10"/>
        <v>#N/A</v>
      </c>
      <c r="K49" s="23" t="e">
        <f t="shared" ca="1" si="11"/>
        <v>#N/A</v>
      </c>
      <c r="W49" s="43">
        <v>18.299999999999997</v>
      </c>
      <c r="X49" s="43">
        <v>6.6</v>
      </c>
      <c r="Y49" s="43">
        <v>2.0106192982974678</v>
      </c>
      <c r="Z49" s="23">
        <f t="shared" ca="1" si="12"/>
        <v>-11.700000000000006</v>
      </c>
      <c r="AA49" s="23">
        <f t="shared" ca="1" si="13"/>
        <v>-23.400000000000006</v>
      </c>
      <c r="AB49" s="23">
        <f t="shared" ca="1" si="14"/>
        <v>-23.741778283548786</v>
      </c>
      <c r="AC49" s="23">
        <f t="shared" ca="1" si="15"/>
        <v>-10.989902817350645</v>
      </c>
      <c r="AD49" s="23">
        <f t="shared" ca="1" si="16"/>
        <v>53.151563159913202</v>
      </c>
      <c r="AE49" s="23">
        <f t="shared" ca="1" si="17"/>
        <v>1.1449276364269152</v>
      </c>
      <c r="AF49" s="23">
        <f t="shared" ca="1" si="18"/>
        <v>2.404348036496522</v>
      </c>
      <c r="AG49" s="23">
        <f t="shared" ca="1" si="19"/>
        <v>4.8342285620035312</v>
      </c>
      <c r="AH49" s="23">
        <f t="shared" ca="1" si="20"/>
        <v>-53.127702093279566</v>
      </c>
      <c r="AI49" s="23">
        <f t="shared" ca="1" si="21"/>
        <v>-114.77318269108672</v>
      </c>
    </row>
    <row r="50" spans="1:39" x14ac:dyDescent="0.2">
      <c r="H50" s="23" t="e">
        <f ca="1"/>
        <v>#N/A</v>
      </c>
      <c r="I50" s="23" t="e">
        <f ca="1"/>
        <v>#N/A</v>
      </c>
      <c r="J50" s="23" t="e">
        <f t="shared" ca="1" si="10"/>
        <v>#N/A</v>
      </c>
      <c r="K50" s="23" t="e">
        <f t="shared" ca="1" si="11"/>
        <v>#N/A</v>
      </c>
      <c r="W50" s="43">
        <v>18.299999999999997</v>
      </c>
      <c r="X50" s="43">
        <v>53.4</v>
      </c>
      <c r="Y50" s="43">
        <v>2.0106192982974678</v>
      </c>
      <c r="Z50" s="23">
        <f t="shared" ca="1" si="12"/>
        <v>-11.700000000000006</v>
      </c>
      <c r="AA50" s="23">
        <f t="shared" ca="1" si="13"/>
        <v>23.399999999999995</v>
      </c>
      <c r="AB50" s="23">
        <f t="shared" ca="1" si="14"/>
        <v>5.4531447162487439</v>
      </c>
      <c r="AC50" s="23">
        <f t="shared" ca="1" si="15"/>
        <v>25.58736431724941</v>
      </c>
      <c r="AD50" s="23">
        <f t="shared" ca="1" si="16"/>
        <v>16.574296025313146</v>
      </c>
      <c r="AE50" s="23">
        <f t="shared" ca="1" si="17"/>
        <v>-1.7074837772324623</v>
      </c>
      <c r="AF50" s="23">
        <f t="shared" ca="1" si="18"/>
        <v>-3.4072159377612055</v>
      </c>
      <c r="AG50" s="23">
        <f t="shared" ca="1" si="19"/>
        <v>-6.8506141179293838</v>
      </c>
      <c r="AH50" s="23">
        <f t="shared" ca="1" si="20"/>
        <v>-175.28915923235135</v>
      </c>
      <c r="AI50" s="23">
        <f t="shared" ca="1" si="21"/>
        <v>-37.357390180245666</v>
      </c>
    </row>
    <row r="51" spans="1:39" x14ac:dyDescent="0.2">
      <c r="H51" s="27" t="e">
        <f ca="1"/>
        <v>#N/A</v>
      </c>
      <c r="I51" s="27" t="e">
        <f ca="1"/>
        <v>#N/A</v>
      </c>
      <c r="J51" s="27" t="e">
        <f t="shared" ca="1" si="10"/>
        <v>#N/A</v>
      </c>
      <c r="K51" s="27" t="e">
        <f t="shared" ca="1" si="11"/>
        <v>#N/A</v>
      </c>
      <c r="W51" s="43">
        <v>30</v>
      </c>
      <c r="X51" s="43">
        <v>6.6</v>
      </c>
      <c r="Y51" s="43">
        <v>2.0106192982974678</v>
      </c>
      <c r="Z51" s="23">
        <f t="shared" ca="1" si="12"/>
        <v>0</v>
      </c>
      <c r="AA51" s="23">
        <f t="shared" ca="1" si="13"/>
        <v>-23.400000000000006</v>
      </c>
      <c r="AB51" s="23">
        <f t="shared" ca="1" si="14"/>
        <v>-14.597461499898769</v>
      </c>
      <c r="AC51" s="23">
        <f t="shared" ca="1" si="15"/>
        <v>-18.288633567300032</v>
      </c>
      <c r="AD51" s="23">
        <f t="shared" ca="1" si="16"/>
        <v>60.450293909862587</v>
      </c>
      <c r="AE51" s="23">
        <f t="shared" ca="1" si="17"/>
        <v>1.7141058317188398</v>
      </c>
      <c r="AF51" s="23">
        <f t="shared" ca="1" si="18"/>
        <v>3.5996222466095635</v>
      </c>
      <c r="AG51" s="23">
        <f t="shared" ca="1" si="19"/>
        <v>7.2374699556140749</v>
      </c>
      <c r="AH51" s="23">
        <f t="shared" ca="1" si="20"/>
        <v>-132.36343597256905</v>
      </c>
      <c r="AI51" s="23">
        <f t="shared" ca="1" si="21"/>
        <v>-105.64868903375051</v>
      </c>
      <c r="AM51" s="2">
        <f>X53-X46</f>
        <v>0</v>
      </c>
    </row>
    <row r="52" spans="1:39" x14ac:dyDescent="0.2">
      <c r="W52" s="43">
        <v>30</v>
      </c>
      <c r="X52" s="43">
        <v>53.4</v>
      </c>
      <c r="Y52" s="43">
        <v>2.0106192982974678</v>
      </c>
      <c r="Z52" s="23">
        <f t="shared" ca="1" si="12"/>
        <v>0</v>
      </c>
      <c r="AA52" s="23">
        <f t="shared" ca="1" si="13"/>
        <v>23.399999999999995</v>
      </c>
      <c r="AB52" s="23">
        <f t="shared" ca="1" si="14"/>
        <v>14.597461499898762</v>
      </c>
      <c r="AC52" s="23">
        <f t="shared" ca="1" si="15"/>
        <v>18.288633567300021</v>
      </c>
      <c r="AD52" s="23">
        <f t="shared" ca="1" si="16"/>
        <v>23.873026775262534</v>
      </c>
      <c r="AE52" s="23">
        <f t="shared" ca="1" si="17"/>
        <v>-1.1383055819405372</v>
      </c>
      <c r="AF52" s="23">
        <f t="shared" ca="1" si="18"/>
        <v>-2.2119417276481621</v>
      </c>
      <c r="AG52" s="23">
        <f t="shared" ca="1" si="19"/>
        <v>-4.4473727243188366</v>
      </c>
      <c r="AH52" s="23">
        <f t="shared" ca="1" si="20"/>
        <v>-81.33637009227202</v>
      </c>
      <c r="AI52" s="23">
        <f t="shared" ca="1" si="21"/>
        <v>-64.920352118944081</v>
      </c>
    </row>
    <row r="53" spans="1:39" x14ac:dyDescent="0.2">
      <c r="W53" s="43">
        <v>41.699999999999996</v>
      </c>
      <c r="X53" s="43">
        <v>6.6</v>
      </c>
      <c r="Y53" s="43">
        <v>2.0106192982974678</v>
      </c>
      <c r="Z53" s="23">
        <f t="shared" ca="1" si="12"/>
        <v>11.699999999999992</v>
      </c>
      <c r="AA53" s="23">
        <f t="shared" ca="1" si="13"/>
        <v>-23.400000000000006</v>
      </c>
      <c r="AB53" s="23">
        <f t="shared" ca="1" si="14"/>
        <v>-5.4531447162487616</v>
      </c>
      <c r="AC53" s="23">
        <f t="shared" ca="1" si="15"/>
        <v>-25.58736431724941</v>
      </c>
      <c r="AD53" s="23">
        <f t="shared" ca="1" si="16"/>
        <v>67.749024659811965</v>
      </c>
      <c r="AE53" s="23">
        <f t="shared" ca="1" si="17"/>
        <v>2.2832840270107639</v>
      </c>
      <c r="AF53" s="23">
        <f t="shared" ca="1" si="18"/>
        <v>4.1999998092651367</v>
      </c>
      <c r="AG53" s="23">
        <f t="shared" ca="1" si="19"/>
        <v>8.444600669354168</v>
      </c>
      <c r="AH53" s="23">
        <f t="shared" ca="1" si="20"/>
        <v>-216.07507384045331</v>
      </c>
      <c r="AI53" s="23">
        <f t="shared" ca="1" si="21"/>
        <v>-46.049629520919439</v>
      </c>
    </row>
    <row r="54" spans="1:39" x14ac:dyDescent="0.2">
      <c r="W54" s="43">
        <v>41.699999999999996</v>
      </c>
      <c r="X54" s="43">
        <v>53.4</v>
      </c>
      <c r="Y54" s="43">
        <v>2.0106192982974678</v>
      </c>
      <c r="Z54" s="23">
        <f t="shared" ca="1" si="12"/>
        <v>11.699999999999992</v>
      </c>
      <c r="AA54" s="23">
        <f t="shared" ca="1" si="13"/>
        <v>23.399999999999995</v>
      </c>
      <c r="AB54" s="23">
        <f t="shared" ca="1" si="14"/>
        <v>23.741778283548769</v>
      </c>
      <c r="AC54" s="23">
        <f t="shared" ca="1" si="15"/>
        <v>10.989902817350643</v>
      </c>
      <c r="AD54" s="23">
        <f t="shared" ca="1" si="16"/>
        <v>31.171757525211913</v>
      </c>
      <c r="AE54" s="23">
        <f t="shared" ca="1" si="17"/>
        <v>-0.56912738664861295</v>
      </c>
      <c r="AF54" s="23">
        <f t="shared" ca="1" si="18"/>
        <v>-1.0166675175351216</v>
      </c>
      <c r="AG54" s="23">
        <f t="shared" ca="1" si="19"/>
        <v>-2.0441313307082947</v>
      </c>
      <c r="AH54" s="23">
        <f t="shared" ca="1" si="20"/>
        <v>-22.464804670385806</v>
      </c>
      <c r="AI54" s="23">
        <f t="shared" ca="1" si="21"/>
        <v>-48.531312836131839</v>
      </c>
      <c r="AM54" s="2">
        <f>X55-X46</f>
        <v>11.699999999999998</v>
      </c>
    </row>
    <row r="55" spans="1:39" x14ac:dyDescent="0.2">
      <c r="W55" s="43">
        <v>6.6</v>
      </c>
      <c r="X55" s="43">
        <v>18.299999999999997</v>
      </c>
      <c r="Y55" s="43">
        <v>2.0106192982974678</v>
      </c>
      <c r="Z55" s="23">
        <f t="shared" ca="1" si="12"/>
        <v>-23.400000000000006</v>
      </c>
      <c r="AA55" s="23">
        <f t="shared" ca="1" si="13"/>
        <v>-11.700000000000006</v>
      </c>
      <c r="AB55" s="23">
        <f t="shared" ca="1" si="14"/>
        <v>-25.587364317249417</v>
      </c>
      <c r="AC55" s="23">
        <f t="shared" ca="1" si="15"/>
        <v>5.453144716248751</v>
      </c>
      <c r="AD55" s="23">
        <f t="shared" ca="1" si="16"/>
        <v>36.708515626313805</v>
      </c>
      <c r="AE55" s="23">
        <f t="shared" ca="1" si="17"/>
        <v>-0.13735341227985387</v>
      </c>
      <c r="AF55" s="23">
        <f t="shared" ca="1" si="18"/>
        <v>-0.28844216578769311</v>
      </c>
      <c r="AG55" s="23">
        <f t="shared" ca="1" si="19"/>
        <v>-0.57994738497545339</v>
      </c>
      <c r="AH55" s="23">
        <f t="shared" ca="1" si="20"/>
        <v>-3.1625370180811738</v>
      </c>
      <c r="AI55" s="23">
        <f t="shared" ca="1" si="21"/>
        <v>14.839325024203028</v>
      </c>
      <c r="AM55" s="2">
        <f>X57-X56</f>
        <v>11.700000000000003</v>
      </c>
    </row>
    <row r="56" spans="1:39" x14ac:dyDescent="0.2">
      <c r="W56" s="43">
        <v>53.4</v>
      </c>
      <c r="X56" s="43">
        <v>18.299999999999997</v>
      </c>
      <c r="Y56" s="43">
        <v>2.0106192982974678</v>
      </c>
      <c r="Z56" s="23">
        <f t="shared" ca="1" si="12"/>
        <v>23.399999999999995</v>
      </c>
      <c r="AA56" s="23">
        <f t="shared" ca="1" si="13"/>
        <v>-11.700000000000006</v>
      </c>
      <c r="AB56" s="23">
        <f t="shared" ca="1" si="14"/>
        <v>10.989902817350634</v>
      </c>
      <c r="AC56" s="23">
        <f t="shared" ca="1" si="15"/>
        <v>-23.741778283548779</v>
      </c>
      <c r="AD56" s="23">
        <f t="shared" ca="1" si="16"/>
        <v>65.903438626111338</v>
      </c>
      <c r="AE56" s="23">
        <f t="shared" ca="1" si="17"/>
        <v>2.1393593688878445</v>
      </c>
      <c r="AF56" s="23">
        <f t="shared" ca="1" si="18"/>
        <v>4.1999998092651367</v>
      </c>
      <c r="AG56" s="23">
        <f t="shared" ca="1" si="19"/>
        <v>8.444600669354168</v>
      </c>
      <c r="AH56" s="23">
        <f t="shared" ca="1" si="20"/>
        <v>-200.48983678491427</v>
      </c>
      <c r="AI56" s="23">
        <f t="shared" ca="1" si="21"/>
        <v>92.805340687536415</v>
      </c>
    </row>
    <row r="57" spans="1:39" x14ac:dyDescent="0.2">
      <c r="W57" s="43">
        <v>6.6</v>
      </c>
      <c r="X57" s="43">
        <v>30</v>
      </c>
      <c r="Y57" s="43">
        <v>2.0106192982974678</v>
      </c>
      <c r="Z57" s="23">
        <f t="shared" ca="1" si="12"/>
        <v>-23.400000000000006</v>
      </c>
      <c r="AA57" s="23">
        <f t="shared" ca="1" si="13"/>
        <v>0</v>
      </c>
      <c r="AB57" s="23">
        <f t="shared" ca="1" si="14"/>
        <v>-18.288633567300032</v>
      </c>
      <c r="AC57" s="23">
        <f t="shared" ca="1" si="15"/>
        <v>14.597461499898769</v>
      </c>
      <c r="AD57" s="23">
        <f t="shared" ca="1" si="16"/>
        <v>27.564198842663785</v>
      </c>
      <c r="AE57" s="23">
        <f t="shared" ca="1" si="17"/>
        <v>-0.85045626569469857</v>
      </c>
      <c r="AF57" s="23">
        <f t="shared" ca="1" si="18"/>
        <v>-1.6074581635319012</v>
      </c>
      <c r="AG57" s="23">
        <f t="shared" ca="1" si="19"/>
        <v>-3.2319864048030476</v>
      </c>
      <c r="AH57" s="23">
        <f t="shared" ca="1" si="20"/>
        <v>-47.178797112308722</v>
      </c>
      <c r="AI57" s="23">
        <f t="shared" ca="1" si="21"/>
        <v>59.108615051938365</v>
      </c>
    </row>
    <row r="58" spans="1:39" x14ac:dyDescent="0.2">
      <c r="W58" s="43">
        <v>53.4</v>
      </c>
      <c r="X58" s="43">
        <v>30</v>
      </c>
      <c r="Y58" s="43">
        <v>2.0106192982974678</v>
      </c>
      <c r="Z58" s="23">
        <f t="shared" ca="1" si="12"/>
        <v>23.399999999999995</v>
      </c>
      <c r="AA58" s="23">
        <f t="shared" ca="1" si="13"/>
        <v>0</v>
      </c>
      <c r="AB58" s="23">
        <f t="shared" ca="1" si="14"/>
        <v>18.288633567300021</v>
      </c>
      <c r="AC58" s="23">
        <f t="shared" ca="1" si="15"/>
        <v>-14.597461499898762</v>
      </c>
      <c r="AD58" s="23">
        <f t="shared" ca="1" si="16"/>
        <v>56.759121842461319</v>
      </c>
      <c r="AE58" s="23">
        <f t="shared" ca="1" si="17"/>
        <v>1.426256515473</v>
      </c>
      <c r="AF58" s="23">
        <f t="shared" ca="1" si="18"/>
        <v>2.9951386824933</v>
      </c>
      <c r="AG58" s="23">
        <f t="shared" ca="1" si="19"/>
        <v>6.022083636098281</v>
      </c>
      <c r="AH58" s="23">
        <f t="shared" ca="1" si="20"/>
        <v>-87.907134027115006</v>
      </c>
      <c r="AI58" s="23">
        <f t="shared" ca="1" si="21"/>
        <v>110.13568093223519</v>
      </c>
    </row>
    <row r="59" spans="1:39" x14ac:dyDescent="0.2">
      <c r="W59" s="43">
        <v>6.6</v>
      </c>
      <c r="X59" s="43">
        <v>41.699999999999996</v>
      </c>
      <c r="Y59" s="43">
        <v>2.0106192982974678</v>
      </c>
      <c r="Z59" s="23">
        <f t="shared" ca="1" si="12"/>
        <v>-23.400000000000006</v>
      </c>
      <c r="AA59" s="23">
        <f t="shared" ca="1" si="13"/>
        <v>11.699999999999992</v>
      </c>
      <c r="AB59" s="23">
        <f t="shared" ca="1" si="14"/>
        <v>-10.989902817350654</v>
      </c>
      <c r="AC59" s="23">
        <f t="shared" ca="1" si="15"/>
        <v>23.741778283548776</v>
      </c>
      <c r="AD59" s="23">
        <f t="shared" ca="1" si="16"/>
        <v>18.41988205901378</v>
      </c>
      <c r="AE59" s="23">
        <f t="shared" ca="1" si="17"/>
        <v>-1.5635591191095422</v>
      </c>
      <c r="AF59" s="23">
        <f t="shared" ca="1" si="18"/>
        <v>-3.104974155703073</v>
      </c>
      <c r="AG59" s="23">
        <f t="shared" ca="1" si="19"/>
        <v>-6.2429209581714851</v>
      </c>
      <c r="AH59" s="23">
        <f t="shared" ca="1" si="20"/>
        <v>-148.21804523062727</v>
      </c>
      <c r="AI59" s="23">
        <f t="shared" ca="1" si="21"/>
        <v>68.609094626706252</v>
      </c>
    </row>
    <row r="60" spans="1:39" x14ac:dyDescent="0.2">
      <c r="W60" s="43">
        <v>53.4</v>
      </c>
      <c r="X60" s="43">
        <v>41.699999999999996</v>
      </c>
      <c r="Y60" s="43">
        <v>2.0106192982974678</v>
      </c>
      <c r="Z60" s="23">
        <f t="shared" ca="1" si="12"/>
        <v>23.399999999999995</v>
      </c>
      <c r="AA60" s="23">
        <f t="shared" ca="1" si="13"/>
        <v>11.699999999999992</v>
      </c>
      <c r="AB60" s="23">
        <f t="shared" ca="1" si="14"/>
        <v>25.587364317249399</v>
      </c>
      <c r="AC60" s="23">
        <f t="shared" ca="1" si="15"/>
        <v>-5.4531447162487545</v>
      </c>
      <c r="AD60" s="23">
        <f t="shared" ca="1" si="16"/>
        <v>47.614805058811314</v>
      </c>
      <c r="AE60" s="23">
        <f t="shared" ca="1" si="17"/>
        <v>0.71315366205815633</v>
      </c>
      <c r="AF60" s="23">
        <f t="shared" ca="1" si="18"/>
        <v>1.4976226903221284</v>
      </c>
      <c r="AG60" s="23">
        <f t="shared" ca="1" si="19"/>
        <v>3.0111490827298435</v>
      </c>
      <c r="AH60" s="23">
        <f t="shared" ca="1" si="20"/>
        <v>-16.420231710325531</v>
      </c>
      <c r="AI60" s="23">
        <f t="shared" ca="1" si="21"/>
        <v>77.047368593359863</v>
      </c>
    </row>
    <row r="61" spans="1:39" x14ac:dyDescent="0.2">
      <c r="W61" s="43" t="e">
        <v>#N/A</v>
      </c>
      <c r="X61" s="43" t="e">
        <v>#N/A</v>
      </c>
      <c r="Y61" s="43" t="e">
        <v>#N/A</v>
      </c>
      <c r="Z61" s="23" t="e">
        <f t="shared" ca="1" si="12"/>
        <v>#N/A</v>
      </c>
      <c r="AA61" s="23" t="e">
        <f t="shared" ca="1" si="13"/>
        <v>#N/A</v>
      </c>
      <c r="AB61" s="23" t="e">
        <f t="shared" ca="1" si="14"/>
        <v>#N/A</v>
      </c>
      <c r="AC61" s="23" t="e">
        <f t="shared" ca="1" si="15"/>
        <v>#N/A</v>
      </c>
      <c r="AD61" s="23" t="e">
        <f t="shared" ca="1" si="16"/>
        <v>#N/A</v>
      </c>
      <c r="AE61" s="23" t="e">
        <f t="shared" ca="1" si="17"/>
        <v>#N/A</v>
      </c>
      <c r="AF61" s="23" t="e">
        <f t="shared" ca="1" si="18"/>
        <v>#N/A</v>
      </c>
      <c r="AG61" s="23" t="e">
        <f t="shared" ca="1" si="19"/>
        <v>#N/A</v>
      </c>
      <c r="AH61" s="23" t="e">
        <f t="shared" ca="1" si="20"/>
        <v>#N/A</v>
      </c>
      <c r="AI61" s="23" t="e">
        <f t="shared" ca="1" si="21"/>
        <v>#N/A</v>
      </c>
    </row>
    <row r="62" spans="1:39" x14ac:dyDescent="0.2">
      <c r="W62" s="43" t="e">
        <v>#N/A</v>
      </c>
      <c r="X62" s="43" t="e">
        <v>#N/A</v>
      </c>
      <c r="Y62" s="43" t="e">
        <v>#N/A</v>
      </c>
      <c r="Z62" s="23" t="e">
        <f t="shared" ca="1" si="12"/>
        <v>#N/A</v>
      </c>
      <c r="AA62" s="23" t="e">
        <f t="shared" ca="1" si="13"/>
        <v>#N/A</v>
      </c>
      <c r="AB62" s="23" t="e">
        <f t="shared" ca="1" si="14"/>
        <v>#N/A</v>
      </c>
      <c r="AC62" s="23" t="e">
        <f t="shared" ca="1" si="15"/>
        <v>#N/A</v>
      </c>
      <c r="AD62" s="23" t="e">
        <f t="shared" ca="1" si="16"/>
        <v>#N/A</v>
      </c>
      <c r="AE62" s="23" t="e">
        <f t="shared" ca="1" si="17"/>
        <v>#N/A</v>
      </c>
      <c r="AF62" s="23" t="e">
        <f t="shared" ca="1" si="18"/>
        <v>#N/A</v>
      </c>
      <c r="AG62" s="23" t="e">
        <f t="shared" ca="1" si="19"/>
        <v>#N/A</v>
      </c>
      <c r="AH62" s="23" t="e">
        <f t="shared" ca="1" si="20"/>
        <v>#N/A</v>
      </c>
      <c r="AI62" s="23" t="e">
        <f t="shared" ca="1" si="21"/>
        <v>#N/A</v>
      </c>
    </row>
    <row r="63" spans="1:39" x14ac:dyDescent="0.2">
      <c r="W63" s="43" t="e">
        <v>#N/A</v>
      </c>
      <c r="X63" s="43" t="e">
        <v>#N/A</v>
      </c>
      <c r="Y63" s="43" t="e">
        <v>#N/A</v>
      </c>
      <c r="Z63" s="23" t="e">
        <f t="shared" ca="1" si="12"/>
        <v>#N/A</v>
      </c>
      <c r="AA63" s="23" t="e">
        <f t="shared" ca="1" si="13"/>
        <v>#N/A</v>
      </c>
      <c r="AB63" s="23" t="e">
        <f t="shared" ca="1" si="14"/>
        <v>#N/A</v>
      </c>
      <c r="AC63" s="23" t="e">
        <f t="shared" ca="1" si="15"/>
        <v>#N/A</v>
      </c>
      <c r="AD63" s="23" t="e">
        <f t="shared" ca="1" si="16"/>
        <v>#N/A</v>
      </c>
      <c r="AE63" s="23" t="e">
        <f t="shared" ca="1" si="17"/>
        <v>#N/A</v>
      </c>
      <c r="AF63" s="23" t="e">
        <f t="shared" ca="1" si="18"/>
        <v>#N/A</v>
      </c>
      <c r="AG63" s="23" t="e">
        <f t="shared" ca="1" si="19"/>
        <v>#N/A</v>
      </c>
      <c r="AH63" s="23" t="e">
        <f t="shared" ca="1" si="20"/>
        <v>#N/A</v>
      </c>
      <c r="AI63" s="23" t="e">
        <f t="shared" ca="1" si="21"/>
        <v>#N/A</v>
      </c>
    </row>
    <row r="64" spans="1:39" x14ac:dyDescent="0.2">
      <c r="W64" s="43" t="e">
        <v>#N/A</v>
      </c>
      <c r="X64" s="43" t="e">
        <v>#N/A</v>
      </c>
      <c r="Y64" s="43" t="e">
        <v>#N/A</v>
      </c>
      <c r="Z64" s="23" t="e">
        <f t="shared" ca="1" si="12"/>
        <v>#N/A</v>
      </c>
      <c r="AA64" s="23" t="e">
        <f t="shared" ca="1" si="13"/>
        <v>#N/A</v>
      </c>
      <c r="AB64" s="23" t="e">
        <f t="shared" ca="1" si="14"/>
        <v>#N/A</v>
      </c>
      <c r="AC64" s="23" t="e">
        <f t="shared" ca="1" si="15"/>
        <v>#N/A</v>
      </c>
      <c r="AD64" s="23" t="e">
        <f t="shared" ca="1" si="16"/>
        <v>#N/A</v>
      </c>
      <c r="AE64" s="23" t="e">
        <f t="shared" ca="1" si="17"/>
        <v>#N/A</v>
      </c>
      <c r="AF64" s="23" t="e">
        <f t="shared" ca="1" si="18"/>
        <v>#N/A</v>
      </c>
      <c r="AG64" s="23" t="e">
        <f t="shared" ca="1" si="19"/>
        <v>#N/A</v>
      </c>
      <c r="AH64" s="23" t="e">
        <f t="shared" ca="1" si="20"/>
        <v>#N/A</v>
      </c>
      <c r="AI64" s="23" t="e">
        <f t="shared" ca="1" si="21"/>
        <v>#N/A</v>
      </c>
    </row>
    <row r="65" spans="23:35" x14ac:dyDescent="0.2">
      <c r="W65" s="43" t="e">
        <v>#N/A</v>
      </c>
      <c r="X65" s="43" t="e">
        <v>#N/A</v>
      </c>
      <c r="Y65" s="43" t="e">
        <v>#N/A</v>
      </c>
      <c r="Z65" s="23" t="e">
        <f t="shared" ca="1" si="12"/>
        <v>#N/A</v>
      </c>
      <c r="AA65" s="23" t="e">
        <f t="shared" ca="1" si="13"/>
        <v>#N/A</v>
      </c>
      <c r="AB65" s="23" t="e">
        <f t="shared" ca="1" si="14"/>
        <v>#N/A</v>
      </c>
      <c r="AC65" s="23" t="e">
        <f t="shared" ca="1" si="15"/>
        <v>#N/A</v>
      </c>
      <c r="AD65" s="23" t="e">
        <f t="shared" ca="1" si="16"/>
        <v>#N/A</v>
      </c>
      <c r="AE65" s="23" t="e">
        <f t="shared" ca="1" si="17"/>
        <v>#N/A</v>
      </c>
      <c r="AF65" s="23" t="e">
        <f t="shared" ca="1" si="18"/>
        <v>#N/A</v>
      </c>
      <c r="AG65" s="23" t="e">
        <f t="shared" ca="1" si="19"/>
        <v>#N/A</v>
      </c>
      <c r="AH65" s="23" t="e">
        <f t="shared" ca="1" si="20"/>
        <v>#N/A</v>
      </c>
      <c r="AI65" s="23" t="e">
        <f t="shared" ca="1" si="21"/>
        <v>#N/A</v>
      </c>
    </row>
    <row r="66" spans="23:35" x14ac:dyDescent="0.2">
      <c r="W66" s="43" t="e">
        <v>#N/A</v>
      </c>
      <c r="X66" s="43" t="e">
        <v>#N/A</v>
      </c>
      <c r="Y66" s="43" t="e">
        <v>#N/A</v>
      </c>
      <c r="Z66" s="23" t="e">
        <f t="shared" ca="1" si="12"/>
        <v>#N/A</v>
      </c>
      <c r="AA66" s="23" t="e">
        <f t="shared" ca="1" si="13"/>
        <v>#N/A</v>
      </c>
      <c r="AB66" s="23" t="e">
        <f t="shared" ca="1" si="14"/>
        <v>#N/A</v>
      </c>
      <c r="AC66" s="23" t="e">
        <f t="shared" ca="1" si="15"/>
        <v>#N/A</v>
      </c>
      <c r="AD66" s="23" t="e">
        <f t="shared" ca="1" si="16"/>
        <v>#N/A</v>
      </c>
      <c r="AE66" s="23" t="e">
        <f t="shared" ca="1" si="17"/>
        <v>#N/A</v>
      </c>
      <c r="AF66" s="23" t="e">
        <f t="shared" ca="1" si="18"/>
        <v>#N/A</v>
      </c>
      <c r="AG66" s="23" t="e">
        <f t="shared" ca="1" si="19"/>
        <v>#N/A</v>
      </c>
      <c r="AH66" s="23" t="e">
        <f t="shared" ca="1" si="20"/>
        <v>#N/A</v>
      </c>
      <c r="AI66" s="23" t="e">
        <f t="shared" ca="1" si="21"/>
        <v>#N/A</v>
      </c>
    </row>
    <row r="67" spans="23:35" x14ac:dyDescent="0.2">
      <c r="W67" s="43" t="e">
        <v>#N/A</v>
      </c>
      <c r="X67" s="43" t="e">
        <v>#N/A</v>
      </c>
      <c r="Y67" s="43" t="e">
        <v>#N/A</v>
      </c>
      <c r="Z67" s="23" t="e">
        <f t="shared" ca="1" si="12"/>
        <v>#N/A</v>
      </c>
      <c r="AA67" s="23" t="e">
        <f t="shared" ca="1" si="13"/>
        <v>#N/A</v>
      </c>
      <c r="AB67" s="23" t="e">
        <f t="shared" ca="1" si="14"/>
        <v>#N/A</v>
      </c>
      <c r="AC67" s="23" t="e">
        <f t="shared" ca="1" si="15"/>
        <v>#N/A</v>
      </c>
      <c r="AD67" s="23" t="e">
        <f t="shared" ca="1" si="16"/>
        <v>#N/A</v>
      </c>
      <c r="AE67" s="23" t="e">
        <f t="shared" ca="1" si="17"/>
        <v>#N/A</v>
      </c>
      <c r="AF67" s="23" t="e">
        <f t="shared" ca="1" si="18"/>
        <v>#N/A</v>
      </c>
      <c r="AG67" s="23" t="e">
        <f t="shared" ca="1" si="19"/>
        <v>#N/A</v>
      </c>
      <c r="AH67" s="23" t="e">
        <f t="shared" ca="1" si="20"/>
        <v>#N/A</v>
      </c>
      <c r="AI67" s="23" t="e">
        <f t="shared" ca="1" si="21"/>
        <v>#N/A</v>
      </c>
    </row>
    <row r="68" spans="23:35" x14ac:dyDescent="0.2">
      <c r="W68" s="43" t="e">
        <v>#N/A</v>
      </c>
      <c r="X68" s="43" t="e">
        <v>#N/A</v>
      </c>
      <c r="Y68" s="43" t="e">
        <v>#N/A</v>
      </c>
      <c r="Z68" s="23" t="e">
        <f t="shared" ca="1" si="12"/>
        <v>#N/A</v>
      </c>
      <c r="AA68" s="23" t="e">
        <f t="shared" ca="1" si="13"/>
        <v>#N/A</v>
      </c>
      <c r="AB68" s="23" t="e">
        <f t="shared" ca="1" si="14"/>
        <v>#N/A</v>
      </c>
      <c r="AC68" s="23" t="e">
        <f t="shared" ca="1" si="15"/>
        <v>#N/A</v>
      </c>
      <c r="AD68" s="23" t="e">
        <f t="shared" ca="1" si="16"/>
        <v>#N/A</v>
      </c>
      <c r="AE68" s="23" t="e">
        <f t="shared" ca="1" si="17"/>
        <v>#N/A</v>
      </c>
      <c r="AF68" s="23" t="e">
        <f t="shared" ca="1" si="18"/>
        <v>#N/A</v>
      </c>
      <c r="AG68" s="23" t="e">
        <f t="shared" ca="1" si="19"/>
        <v>#N/A</v>
      </c>
      <c r="AH68" s="23" t="e">
        <f t="shared" ca="1" si="20"/>
        <v>#N/A</v>
      </c>
      <c r="AI68" s="23" t="e">
        <f t="shared" ca="1" si="21"/>
        <v>#N/A</v>
      </c>
    </row>
    <row r="69" spans="23:35" x14ac:dyDescent="0.2">
      <c r="W69" s="43" t="e">
        <v>#N/A</v>
      </c>
      <c r="X69" s="43" t="e">
        <v>#N/A</v>
      </c>
      <c r="Y69" s="43" t="e">
        <v>#N/A</v>
      </c>
      <c r="Z69" s="23" t="e">
        <f t="shared" ca="1" si="12"/>
        <v>#N/A</v>
      </c>
      <c r="AA69" s="23" t="e">
        <f t="shared" ca="1" si="13"/>
        <v>#N/A</v>
      </c>
      <c r="AB69" s="23" t="e">
        <f t="shared" ca="1" si="14"/>
        <v>#N/A</v>
      </c>
      <c r="AC69" s="23" t="e">
        <f t="shared" ca="1" si="15"/>
        <v>#N/A</v>
      </c>
      <c r="AD69" s="23" t="e">
        <f t="shared" ca="1" si="16"/>
        <v>#N/A</v>
      </c>
      <c r="AE69" s="23" t="e">
        <f t="shared" ca="1" si="17"/>
        <v>#N/A</v>
      </c>
      <c r="AF69" s="23" t="e">
        <f t="shared" ca="1" si="18"/>
        <v>#N/A</v>
      </c>
      <c r="AG69" s="23" t="e">
        <f t="shared" ca="1" si="19"/>
        <v>#N/A</v>
      </c>
      <c r="AH69" s="23" t="e">
        <f t="shared" ca="1" si="20"/>
        <v>#N/A</v>
      </c>
      <c r="AI69" s="23" t="e">
        <f t="shared" ca="1" si="21"/>
        <v>#N/A</v>
      </c>
    </row>
    <row r="70" spans="23:35" x14ac:dyDescent="0.2">
      <c r="W70" s="43" t="e">
        <v>#N/A</v>
      </c>
      <c r="X70" s="43" t="e">
        <v>#N/A</v>
      </c>
      <c r="Y70" s="43" t="e">
        <v>#N/A</v>
      </c>
      <c r="Z70" s="23" t="e">
        <f t="shared" ca="1" si="12"/>
        <v>#N/A</v>
      </c>
      <c r="AA70" s="23" t="e">
        <f t="shared" ca="1" si="13"/>
        <v>#N/A</v>
      </c>
      <c r="AB70" s="23" t="e">
        <f t="shared" ca="1" si="14"/>
        <v>#N/A</v>
      </c>
      <c r="AC70" s="23" t="e">
        <f t="shared" ca="1" si="15"/>
        <v>#N/A</v>
      </c>
      <c r="AD70" s="23" t="e">
        <f t="shared" ca="1" si="16"/>
        <v>#N/A</v>
      </c>
      <c r="AE70" s="23" t="e">
        <f t="shared" ca="1" si="17"/>
        <v>#N/A</v>
      </c>
      <c r="AF70" s="23" t="e">
        <f t="shared" ca="1" si="18"/>
        <v>#N/A</v>
      </c>
      <c r="AG70" s="23" t="e">
        <f t="shared" ca="1" si="19"/>
        <v>#N/A</v>
      </c>
      <c r="AH70" s="23" t="e">
        <f t="shared" ca="1" si="20"/>
        <v>#N/A</v>
      </c>
      <c r="AI70" s="23" t="e">
        <f t="shared" ca="1" si="21"/>
        <v>#N/A</v>
      </c>
    </row>
    <row r="71" spans="23:35" x14ac:dyDescent="0.2">
      <c r="W71" s="43" t="e">
        <v>#N/A</v>
      </c>
      <c r="X71" s="43" t="e">
        <v>#N/A</v>
      </c>
      <c r="Y71" s="43" t="e">
        <v>#N/A</v>
      </c>
      <c r="Z71" s="23" t="e">
        <f t="shared" ca="1" si="12"/>
        <v>#N/A</v>
      </c>
      <c r="AA71" s="23" t="e">
        <f t="shared" ca="1" si="13"/>
        <v>#N/A</v>
      </c>
      <c r="AB71" s="23" t="e">
        <f t="shared" ca="1" si="14"/>
        <v>#N/A</v>
      </c>
      <c r="AC71" s="23" t="e">
        <f t="shared" ca="1" si="15"/>
        <v>#N/A</v>
      </c>
      <c r="AD71" s="23" t="e">
        <f t="shared" ca="1" si="16"/>
        <v>#N/A</v>
      </c>
      <c r="AE71" s="23" t="e">
        <f t="shared" ca="1" si="17"/>
        <v>#N/A</v>
      </c>
      <c r="AF71" s="23" t="e">
        <f t="shared" ca="1" si="18"/>
        <v>#N/A</v>
      </c>
      <c r="AG71" s="23" t="e">
        <f t="shared" ca="1" si="19"/>
        <v>#N/A</v>
      </c>
      <c r="AH71" s="23" t="e">
        <f t="shared" ca="1" si="20"/>
        <v>#N/A</v>
      </c>
      <c r="AI71" s="23" t="e">
        <f t="shared" ca="1" si="21"/>
        <v>#N/A</v>
      </c>
    </row>
    <row r="72" spans="23:35" x14ac:dyDescent="0.2">
      <c r="W72" s="44" t="e">
        <v>#N/A</v>
      </c>
      <c r="X72" s="44" t="e">
        <v>#N/A</v>
      </c>
      <c r="Y72" s="44" t="e">
        <v>#N/A</v>
      </c>
      <c r="Z72" s="27" t="e">
        <f t="shared" ca="1" si="12"/>
        <v>#N/A</v>
      </c>
      <c r="AA72" s="27" t="e">
        <f t="shared" ca="1" si="13"/>
        <v>#N/A</v>
      </c>
      <c r="AB72" s="27" t="e">
        <f t="shared" ca="1" si="14"/>
        <v>#N/A</v>
      </c>
      <c r="AC72" s="27" t="e">
        <f t="shared" ca="1" si="15"/>
        <v>#N/A</v>
      </c>
      <c r="AD72" s="27" t="e">
        <f t="shared" ca="1" si="16"/>
        <v>#N/A</v>
      </c>
      <c r="AE72" s="27" t="e">
        <f t="shared" ca="1" si="17"/>
        <v>#N/A</v>
      </c>
      <c r="AF72" s="27" t="e">
        <f t="shared" ca="1" si="18"/>
        <v>#N/A</v>
      </c>
      <c r="AG72" s="27" t="e">
        <f t="shared" ca="1" si="19"/>
        <v>#N/A</v>
      </c>
      <c r="AH72" s="27" t="e">
        <f t="shared" ca="1" si="20"/>
        <v>#N/A</v>
      </c>
      <c r="AI72" s="27" t="e">
        <f t="shared" ca="1" si="21"/>
        <v>#N/A</v>
      </c>
    </row>
  </sheetData>
  <conditionalFormatting sqref="H45:I51">
    <cfRule type="containsErrors" dxfId="21" priority="3">
      <formula>ISERROR(H45)</formula>
    </cfRule>
  </conditionalFormatting>
  <conditionalFormatting sqref="J45:K51">
    <cfRule type="containsErrors" dxfId="20" priority="2">
      <formula>ISERROR(J45)</formula>
    </cfRule>
  </conditionalFormatting>
  <conditionalFormatting sqref="W45:AI72">
    <cfRule type="containsErrors" dxfId="19" priority="1">
      <formula>ISERROR(W45)</formula>
    </cfRule>
  </conditionalFormatting>
  <printOptions horizontalCentered="1" verticalCentered="1"/>
  <pageMargins left="0.59055118110236227" right="0.59055118110236227" top="0.59055118110236227" bottom="0.59055118110236227" header="0.39370078740157483" footer="0.39370078740157483"/>
  <pageSetup orientation="landscape" r:id="rId1"/>
  <ignoredErrors>
    <ignoredError sqref="J45:K51 Z45:AI72" evalError="1"/>
  </ignoredErrors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Fill="0" autoLine="0" r:id="rId5">
            <anchor moveWithCells="1">
              <from>
                <xdr:col>8</xdr:col>
                <xdr:colOff>114300</xdr:colOff>
                <xdr:row>17</xdr:row>
                <xdr:rowOff>19050</xdr:rowOff>
              </from>
              <to>
                <xdr:col>10</xdr:col>
                <xdr:colOff>314325</xdr:colOff>
                <xdr:row>18</xdr:row>
                <xdr:rowOff>133350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13</xdr:col>
                <xdr:colOff>123825</xdr:colOff>
                <xdr:row>12</xdr:row>
                <xdr:rowOff>19050</xdr:rowOff>
              </from>
              <to>
                <xdr:col>15</xdr:col>
                <xdr:colOff>323850</xdr:colOff>
                <xdr:row>14</xdr:row>
                <xdr:rowOff>0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38319-42E2-4F57-A076-A20F9D38E400}">
  <sheetPr codeName="Sheet6"/>
  <dimension ref="A1:AS176"/>
  <sheetViews>
    <sheetView zoomScale="85" zoomScaleNormal="85" workbookViewId="0">
      <selection activeCell="AK56" sqref="AK56"/>
    </sheetView>
  </sheetViews>
  <sheetFormatPr defaultColWidth="5.7109375" defaultRowHeight="12.75" x14ac:dyDescent="0.2"/>
  <cols>
    <col min="1" max="19" width="6.5703125" style="2" customWidth="1"/>
    <col min="20" max="20" width="9.42578125" style="2" bestFit="1" customWidth="1"/>
    <col min="21" max="21" width="6.5703125" style="2" customWidth="1"/>
    <col min="22" max="22" width="5.7109375" style="2"/>
    <col min="23" max="23" width="6.7109375" style="2" bestFit="1" customWidth="1"/>
    <col min="24" max="24" width="6.28515625" style="2" customWidth="1"/>
    <col min="25" max="25" width="5.85546875" style="2" bestFit="1" customWidth="1"/>
    <col min="26" max="26" width="6.7109375" style="2" bestFit="1" customWidth="1"/>
    <col min="27" max="27" width="6.5703125" style="2" customWidth="1"/>
    <col min="28" max="39" width="5.85546875" style="2" bestFit="1" customWidth="1"/>
    <col min="40" max="40" width="5.7109375" style="2"/>
    <col min="41" max="44" width="5.85546875" style="2" bestFit="1" customWidth="1"/>
    <col min="45" max="16384" width="5.7109375" style="2"/>
  </cols>
  <sheetData>
    <row r="1" spans="1:44" x14ac:dyDescent="0.2">
      <c r="A1" s="58" t="s">
        <v>24</v>
      </c>
      <c r="B1" s="59"/>
      <c r="C1" s="59"/>
      <c r="D1" s="59"/>
      <c r="E1" s="59"/>
      <c r="F1" s="59"/>
      <c r="G1" s="59"/>
      <c r="H1" s="1"/>
      <c r="I1" s="60" t="s">
        <v>25</v>
      </c>
      <c r="J1" s="59"/>
      <c r="K1" s="59"/>
      <c r="L1" s="59"/>
      <c r="M1" s="59"/>
      <c r="N1" s="59"/>
      <c r="O1" s="59"/>
      <c r="P1" s="59"/>
      <c r="Q1" s="59"/>
      <c r="R1" s="59"/>
      <c r="S1" s="30"/>
      <c r="W1" s="3" t="s">
        <v>5</v>
      </c>
      <c r="X1" s="4">
        <v>0.85</v>
      </c>
      <c r="Z1" s="3" t="s">
        <v>26</v>
      </c>
      <c r="AA1" s="5">
        <f ca="1">MAX(OFFSET($AD$45,0,0,COUNT($AD$45:$AD$72)))</f>
        <v>74.477768786680997</v>
      </c>
      <c r="AC1" s="6" t="s">
        <v>13</v>
      </c>
      <c r="AD1" s="7">
        <f>MIN(Q3:Q42)</f>
        <v>0</v>
      </c>
      <c r="AI1" s="6" t="s">
        <v>13</v>
      </c>
      <c r="AJ1" s="7">
        <f>MAX(Q3:Q42)</f>
        <v>0</v>
      </c>
    </row>
    <row r="2" spans="1:44" x14ac:dyDescent="0.2">
      <c r="A2" s="8" t="s">
        <v>126</v>
      </c>
      <c r="B2" s="9"/>
      <c r="C2" s="9"/>
      <c r="D2" s="9"/>
      <c r="E2" s="9"/>
      <c r="F2" s="9"/>
      <c r="G2" s="9"/>
      <c r="H2" s="9"/>
      <c r="I2" s="8" t="s">
        <v>123</v>
      </c>
      <c r="J2" s="9"/>
      <c r="K2" s="9"/>
      <c r="L2" s="9"/>
      <c r="M2" s="9"/>
      <c r="N2" s="9"/>
      <c r="O2" s="9"/>
      <c r="P2" s="10"/>
      <c r="Q2" s="6" t="s">
        <v>13</v>
      </c>
      <c r="R2" s="6" t="s">
        <v>19</v>
      </c>
      <c r="S2" s="6" t="s">
        <v>20</v>
      </c>
      <c r="T2" s="6" t="s">
        <v>22</v>
      </c>
      <c r="U2" s="6" t="s">
        <v>32</v>
      </c>
      <c r="W2" s="3" t="s">
        <v>33</v>
      </c>
      <c r="X2" s="4">
        <v>0.65</v>
      </c>
      <c r="Z2" s="3" t="s">
        <v>34</v>
      </c>
      <c r="AA2" s="5">
        <f ca="1">AA1/(1-X4/X5)</f>
        <v>27.92916329500537</v>
      </c>
      <c r="AC2" s="6" t="s">
        <v>18</v>
      </c>
      <c r="AD2" s="6" t="s">
        <v>35</v>
      </c>
      <c r="AE2" s="6" t="s">
        <v>13</v>
      </c>
      <c r="AF2" s="6" t="s">
        <v>19</v>
      </c>
      <c r="AG2" s="6" t="s">
        <v>20</v>
      </c>
      <c r="AI2" s="6" t="s">
        <v>18</v>
      </c>
      <c r="AJ2" s="6" t="s">
        <v>35</v>
      </c>
      <c r="AK2" s="6" t="s">
        <v>13</v>
      </c>
      <c r="AL2" s="6" t="s">
        <v>19</v>
      </c>
      <c r="AM2" s="6" t="s">
        <v>20</v>
      </c>
      <c r="AO2" s="6" t="s">
        <v>13</v>
      </c>
      <c r="AP2" s="6" t="s">
        <v>19</v>
      </c>
      <c r="AQ2" s="6" t="s">
        <v>20</v>
      </c>
      <c r="AR2" s="6" t="s">
        <v>32</v>
      </c>
    </row>
    <row r="3" spans="1:44" x14ac:dyDescent="0.2">
      <c r="A3" s="11" t="s">
        <v>3</v>
      </c>
      <c r="B3" s="12">
        <v>0.28000000000000003</v>
      </c>
      <c r="C3" s="13"/>
      <c r="D3" s="13"/>
      <c r="E3" s="13"/>
      <c r="F3" s="13"/>
      <c r="G3" s="13"/>
      <c r="H3" s="13"/>
      <c r="I3" s="6" t="s">
        <v>27</v>
      </c>
      <c r="J3" s="6" t="s">
        <v>29</v>
      </c>
      <c r="K3" s="6" t="s">
        <v>28</v>
      </c>
      <c r="L3" s="6" t="s">
        <v>30</v>
      </c>
      <c r="M3" s="6" t="s">
        <v>31</v>
      </c>
      <c r="N3" s="13"/>
      <c r="O3" s="13"/>
      <c r="P3" s="14"/>
      <c r="Q3" s="17"/>
      <c r="R3" s="17"/>
      <c r="S3" s="17"/>
      <c r="T3" s="18" t="s">
        <v>192</v>
      </c>
      <c r="U3" s="18" t="str">
        <f>IF(COUNT(Q3),S3*COS($X$6)+R3*SIN($X$6),"")</f>
        <v/>
      </c>
      <c r="W3" s="3" t="s">
        <v>36</v>
      </c>
      <c r="X3" s="4">
        <v>0.9</v>
      </c>
      <c r="Z3" s="3" t="s">
        <v>37</v>
      </c>
      <c r="AA3" s="5">
        <f ca="1">AA1/(1-X7/X5)</f>
        <v>44.686662083751877</v>
      </c>
      <c r="AC3" s="18">
        <v>0</v>
      </c>
      <c r="AD3" s="18">
        <f t="shared" ref="AD3:AD38" si="0">XCOMPRESSRS($B$4,$B$5,$B$6,$B$15,$B$16,$B$11,$B$12,$B$13,$B$7,$B$8,AC3,$AD$1,$B$3,$B$14)</f>
        <v>7.85430908203125</v>
      </c>
      <c r="AE3" s="18">
        <f t="array" ref="AE3:AG3">FLEXCOMPBIAXRS($B$4,$B$5,$B$6,$B$15,$B$16,$B$11,$B$12,$B$13,$B$7,$B$8,AC3,AD3,$B$3,$B$14)</f>
        <v>-1.3089322330458231E-2</v>
      </c>
      <c r="AF3" s="18">
        <v>5.6843418860808015E-14</v>
      </c>
      <c r="AG3" s="18">
        <v>2683.7497064721456</v>
      </c>
      <c r="AI3" s="18">
        <v>0</v>
      </c>
      <c r="AJ3" s="18">
        <f t="shared" ref="AJ3:AJ39" si="1">XCOMPRESSRS($B$4,$B$5,$B$6,$B$15,$B$16,$B$11,$B$12,$B$13,$B$7,$B$8,AI3,$AJ$1,$B$3,$B$14)</f>
        <v>7.85430908203125</v>
      </c>
      <c r="AK3" s="18">
        <f t="array" ref="AK3:AM3">FLEXCOMPBIAXRS($B$4,$B$5,$B$6,$B$15,$B$16,$B$11,$B$12,$B$13,$B$7,$B$8,AI3,AJ3,$B$3,$B$14)</f>
        <v>-1.3089322330458231E-2</v>
      </c>
      <c r="AL3" s="18">
        <v>5.6843418860808015E-14</v>
      </c>
      <c r="AM3" s="18">
        <v>2683.7497064721456</v>
      </c>
      <c r="AO3" s="18">
        <f t="array" ref="AO3:AQ16">DIAGRAFLEXCOMPRS(B4,B5,B6,B15,B16,B11,B12,B13,B7,B8,B9,B3,B14)</f>
        <v>108.30200358446717</v>
      </c>
      <c r="AP3" s="18">
        <v>3.5605220533801224E-14</v>
      </c>
      <c r="AQ3" s="18">
        <v>-4.6533761187563844E-14</v>
      </c>
      <c r="AR3" s="18">
        <f>AQ3*COS($X$6)+AP3*SIN($X$6)</f>
        <v>-1.4210854715202004E-14</v>
      </c>
    </row>
    <row r="4" spans="1:44" x14ac:dyDescent="0.2">
      <c r="A4" s="11" t="s">
        <v>0</v>
      </c>
      <c r="B4" s="12">
        <v>0.20999999344348907</v>
      </c>
      <c r="C4" s="13"/>
      <c r="D4" s="13"/>
      <c r="E4" s="13"/>
      <c r="F4" s="13"/>
      <c r="G4" s="13"/>
      <c r="H4" s="13"/>
      <c r="I4" s="19">
        <f t="array" ref="I4:K4">FLEXCOMPBIAXRS($B$4,$B$5,$B$6,$B$15,$B$16,$B$11,$B$12,$B$13,$B$7,$B$8,$B$9,$B$10,$B$3,$B$14)</f>
        <v>-125.04219080811815</v>
      </c>
      <c r="J4" s="19">
        <v>2476.3212797011338</v>
      </c>
      <c r="K4" s="19">
        <v>3161.4189140504259</v>
      </c>
      <c r="L4" s="7">
        <f>K4*COS($X$6)+J4*SIN($X$6)</f>
        <v>4015.6751328361543</v>
      </c>
      <c r="M4" s="7">
        <f>SQRT(I4^2+J4^2+K4^2)</f>
        <v>4017.7571081261904</v>
      </c>
      <c r="N4" s="13"/>
      <c r="O4" s="13"/>
      <c r="P4" s="14"/>
      <c r="Q4" s="22"/>
      <c r="R4" s="22"/>
      <c r="S4" s="22"/>
      <c r="T4" s="23" t="s">
        <v>192</v>
      </c>
      <c r="U4" s="23" t="str">
        <f t="shared" ref="U4:U42" si="2">IF(COUNT(Q4),S4*COS($X$6)+R4*SIN($X$6),"")</f>
        <v/>
      </c>
      <c r="W4" s="3" t="s">
        <v>7</v>
      </c>
      <c r="X4" s="4">
        <v>5</v>
      </c>
      <c r="Z4" s="3" t="s">
        <v>39</v>
      </c>
      <c r="AA4" s="5">
        <f ca="1">IF(B10&lt;AA2,X4/(B10-AA1),X5/B10)</f>
        <v>-7.9285361595882412E-2</v>
      </c>
      <c r="AC4" s="23">
        <v>10</v>
      </c>
      <c r="AD4" s="23">
        <f t="shared" si="0"/>
        <v>13.642473116753315</v>
      </c>
      <c r="AE4" s="23">
        <f t="array" ref="AE4:AG4">FLEXCOMPBIAXRS($B$4,$B$5,$B$6,$B$15,$B$16,$B$11,$B$12,$B$13,$B$7,$B$8,AC4,AD4,$B$3,$B$14)</f>
        <v>1.5604235005909572E-2</v>
      </c>
      <c r="AF4" s="23">
        <v>692.38770623080427</v>
      </c>
      <c r="AG4" s="23">
        <v>2616.6643279891114</v>
      </c>
      <c r="AI4" s="23">
        <v>10</v>
      </c>
      <c r="AJ4" s="23">
        <f t="shared" si="1"/>
        <v>13.642473116753315</v>
      </c>
      <c r="AK4" s="23">
        <f t="array" ref="AK4:AM4">FLEXCOMPBIAXRS($B$4,$B$5,$B$6,$B$15,$B$16,$B$11,$B$12,$B$13,$B$7,$B$8,AI4,AJ4,$B$3,$B$14)</f>
        <v>1.5604235005909572E-2</v>
      </c>
      <c r="AL4" s="23">
        <v>692.38770623080427</v>
      </c>
      <c r="AM4" s="23">
        <v>2616.6643279891114</v>
      </c>
      <c r="AO4" s="23">
        <v>95.349299598916758</v>
      </c>
      <c r="AP4" s="23">
        <v>248.85899018291516</v>
      </c>
      <c r="AQ4" s="23">
        <v>266.93841740914087</v>
      </c>
      <c r="AR4" s="23">
        <f t="shared" ref="AR4:AR30" si="3">AQ4*COS($X$6)+AP4*SIN($X$6)</f>
        <v>363.84760828833384</v>
      </c>
    </row>
    <row r="5" spans="1:44" x14ac:dyDescent="0.2">
      <c r="A5" s="11" t="s">
        <v>1</v>
      </c>
      <c r="B5" s="12">
        <v>4.1999998092651367</v>
      </c>
      <c r="C5" s="13"/>
      <c r="D5" s="13"/>
      <c r="E5" s="13"/>
      <c r="F5" s="13"/>
      <c r="G5" s="13"/>
      <c r="H5" s="13"/>
      <c r="I5" s="7">
        <f>I4/M4</f>
        <v>-3.1122386805118633E-2</v>
      </c>
      <c r="J5" s="7">
        <f>J4/M4</f>
        <v>0.61634419728674084</v>
      </c>
      <c r="K5" s="7">
        <f>K4/M4</f>
        <v>0.78686163174380019</v>
      </c>
      <c r="L5" s="13"/>
      <c r="M5" s="13"/>
      <c r="N5" s="13"/>
      <c r="O5" s="13"/>
      <c r="P5" s="14"/>
      <c r="Q5" s="22"/>
      <c r="R5" s="22"/>
      <c r="S5" s="22"/>
      <c r="T5" s="23" t="s">
        <v>23</v>
      </c>
      <c r="U5" s="23" t="str">
        <f t="shared" si="2"/>
        <v/>
      </c>
      <c r="W5" s="3" t="s">
        <v>8</v>
      </c>
      <c r="X5" s="4">
        <v>-3</v>
      </c>
      <c r="Z5" s="3" t="s">
        <v>40</v>
      </c>
      <c r="AA5" s="5">
        <f ca="1">MAX(OFFSET($AE$45,0,0,COUNT($AE$45:$AE$72)))</f>
        <v>2.9049968291065271</v>
      </c>
      <c r="AC5" s="23">
        <v>20</v>
      </c>
      <c r="AD5" s="23">
        <f t="shared" si="0"/>
        <v>18.389026543938471</v>
      </c>
      <c r="AE5" s="23">
        <f t="array" ref="AE5:AG5">FLEXCOMPBIAXRS($B$4,$B$5,$B$6,$B$15,$B$16,$B$11,$B$12,$B$13,$B$7,$B$8,AC5,AD5,$B$3,$B$14)</f>
        <v>2.7482648139880439E-2</v>
      </c>
      <c r="AF5" s="23">
        <v>1256.4231382161888</v>
      </c>
      <c r="AG5" s="23">
        <v>2488.4044101505465</v>
      </c>
      <c r="AI5" s="23">
        <v>20</v>
      </c>
      <c r="AJ5" s="23">
        <f t="shared" si="1"/>
        <v>18.389026543938471</v>
      </c>
      <c r="AK5" s="23">
        <f t="array" ref="AK5:AM5">FLEXCOMPBIAXRS($B$4,$B$5,$B$6,$B$15,$B$16,$B$11,$B$12,$B$13,$B$7,$B$8,AI5,AJ5,$B$3,$B$14)</f>
        <v>2.7482648139880439E-2</v>
      </c>
      <c r="AL5" s="23">
        <v>1256.4231382161888</v>
      </c>
      <c r="AM5" s="23">
        <v>2488.4044101505465</v>
      </c>
      <c r="AO5" s="23">
        <v>56.219142642837483</v>
      </c>
      <c r="AP5" s="23">
        <v>1032.4201933605398</v>
      </c>
      <c r="AQ5" s="23">
        <v>1121.9361895355514</v>
      </c>
      <c r="AR5" s="23">
        <f t="shared" si="3"/>
        <v>1520.8137810302974</v>
      </c>
    </row>
    <row r="6" spans="1:44" x14ac:dyDescent="0.2">
      <c r="A6" s="11" t="s">
        <v>2</v>
      </c>
      <c r="B6" s="12">
        <v>2100</v>
      </c>
      <c r="C6" s="13"/>
      <c r="D6" s="13"/>
      <c r="E6" s="13"/>
      <c r="F6" s="13"/>
      <c r="G6" s="13"/>
      <c r="H6" s="13"/>
      <c r="I6" s="24"/>
      <c r="J6" s="13"/>
      <c r="K6" s="13"/>
      <c r="L6" s="13"/>
      <c r="M6" s="13"/>
      <c r="N6" s="13"/>
      <c r="O6" s="13"/>
      <c r="P6" s="14"/>
      <c r="Q6" s="22"/>
      <c r="R6" s="22"/>
      <c r="S6" s="22"/>
      <c r="T6" s="23" t="s">
        <v>191</v>
      </c>
      <c r="U6" s="23" t="str">
        <f t="shared" si="2"/>
        <v/>
      </c>
      <c r="W6" s="3" t="s">
        <v>43</v>
      </c>
      <c r="X6" s="5">
        <f>RADIANS(B9)</f>
        <v>0.6726920294865536</v>
      </c>
      <c r="Z6" s="3" t="s">
        <v>44</v>
      </c>
      <c r="AA6" s="5">
        <f ca="1">IF(AA5&lt;X7,X2,IF(AA5&gt;X4,X3,X2+(X3-X2)*(AA5-X7)/(X4-X7)))</f>
        <v>0.7254164077111277</v>
      </c>
      <c r="AC6" s="23">
        <v>30</v>
      </c>
      <c r="AD6" s="23">
        <f t="shared" si="0"/>
        <v>21.249515657685606</v>
      </c>
      <c r="AE6" s="23">
        <f t="array" ref="AE6:AG6">FLEXCOMPBIAXRS($B$4,$B$5,$B$6,$B$15,$B$16,$B$11,$B$12,$B$13,$B$7,$B$8,AC6,AD6,$B$3,$B$14)</f>
        <v>1.6119982618427287E-2</v>
      </c>
      <c r="AF6" s="23">
        <v>1613.7509770074353</v>
      </c>
      <c r="AG6" s="23">
        <v>2323.0008072896444</v>
      </c>
      <c r="AI6" s="23">
        <v>30</v>
      </c>
      <c r="AJ6" s="23">
        <f t="shared" si="1"/>
        <v>21.249515657685606</v>
      </c>
      <c r="AK6" s="23">
        <f t="array" ref="AK6:AM6">FLEXCOMPBIAXRS($B$4,$B$5,$B$6,$B$15,$B$16,$B$11,$B$12,$B$13,$B$7,$B$8,AI6,AJ6,$B$3,$B$14)</f>
        <v>1.6119982618427287E-2</v>
      </c>
      <c r="AL6" s="23">
        <v>1613.7509770074353</v>
      </c>
      <c r="AM6" s="23">
        <v>2323.0008072896444</v>
      </c>
      <c r="AO6" s="23">
        <v>12.948958411247219</v>
      </c>
      <c r="AP6" s="23">
        <v>1690.7699537302215</v>
      </c>
      <c r="AQ6" s="23">
        <v>1957.7490946674054</v>
      </c>
      <c r="AR6" s="23">
        <f t="shared" si="3"/>
        <v>2584.7560910225179</v>
      </c>
    </row>
    <row r="7" spans="1:44" x14ac:dyDescent="0.2">
      <c r="A7" s="11" t="s">
        <v>109</v>
      </c>
      <c r="B7" s="12">
        <v>5</v>
      </c>
      <c r="C7" s="13"/>
      <c r="D7" s="13"/>
      <c r="E7" s="13"/>
      <c r="F7" s="13"/>
      <c r="G7" s="13"/>
      <c r="H7" s="13"/>
      <c r="I7" s="25" t="s">
        <v>124</v>
      </c>
      <c r="J7" s="13"/>
      <c r="K7" s="13"/>
      <c r="L7" s="13"/>
      <c r="M7" s="13"/>
      <c r="N7" s="13"/>
      <c r="O7" s="13"/>
      <c r="P7" s="14"/>
      <c r="Q7" s="22"/>
      <c r="R7" s="22"/>
      <c r="S7" s="22"/>
      <c r="T7" s="23" t="s">
        <v>128</v>
      </c>
      <c r="U7" s="23" t="str">
        <f t="shared" si="2"/>
        <v/>
      </c>
      <c r="W7" s="3" t="s">
        <v>45</v>
      </c>
      <c r="X7" s="5">
        <f>B5/B6*1000</f>
        <v>1.9999999091738747</v>
      </c>
      <c r="Z7" s="3" t="s">
        <v>46</v>
      </c>
      <c r="AA7" s="5">
        <f ca="1">SUM(OFFSET($AG$45,0,0,COUNT($AG$45:$AG$72)))</f>
        <v>17.062210552517968</v>
      </c>
      <c r="AC7" s="23">
        <v>40</v>
      </c>
      <c r="AD7" s="23">
        <f t="shared" si="0"/>
        <v>22.813121812107411</v>
      </c>
      <c r="AE7" s="23">
        <f t="array" ref="AE7:AG7">FLEXCOMPBIAXRS($B$4,$B$5,$B$6,$B$15,$B$16,$B$11,$B$12,$B$13,$B$7,$B$8,AC7,AD7,$B$3,$B$14)</f>
        <v>-2.7344635929701155E-2</v>
      </c>
      <c r="AF7" s="23">
        <v>1903.7865770240862</v>
      </c>
      <c r="AG7" s="23">
        <v>2165.503088251538</v>
      </c>
      <c r="AI7" s="23">
        <v>40</v>
      </c>
      <c r="AJ7" s="23">
        <f t="shared" si="1"/>
        <v>22.813121812107411</v>
      </c>
      <c r="AK7" s="23">
        <f t="array" ref="AK7:AM7">FLEXCOMPBIAXRS($B$4,$B$5,$B$6,$B$15,$B$16,$B$11,$B$12,$B$13,$B$7,$B$8,AI7,AJ7,$B$3,$B$14)</f>
        <v>-2.7344635929701155E-2</v>
      </c>
      <c r="AL7" s="23">
        <v>1903.7865770240862</v>
      </c>
      <c r="AM7" s="23">
        <v>2165.503088251538</v>
      </c>
      <c r="AO7" s="23">
        <v>-46.236556895807936</v>
      </c>
      <c r="AP7" s="23">
        <v>2402.9655195571959</v>
      </c>
      <c r="AQ7" s="23">
        <v>2934.8985752143831</v>
      </c>
      <c r="AR7" s="23">
        <f t="shared" si="3"/>
        <v>3792.7953835635626</v>
      </c>
    </row>
    <row r="8" spans="1:44" x14ac:dyDescent="0.2">
      <c r="A8" s="11" t="s">
        <v>4</v>
      </c>
      <c r="B8" s="67">
        <v>15</v>
      </c>
      <c r="C8" s="13"/>
      <c r="D8" s="13"/>
      <c r="E8" s="13"/>
      <c r="F8" s="13"/>
      <c r="G8" s="13"/>
      <c r="H8" s="13"/>
      <c r="I8" s="6" t="s">
        <v>41</v>
      </c>
      <c r="J8" s="6" t="s">
        <v>15</v>
      </c>
      <c r="K8" s="6" t="s">
        <v>14</v>
      </c>
      <c r="L8" s="6" t="s">
        <v>122</v>
      </c>
      <c r="M8" s="6" t="s">
        <v>42</v>
      </c>
      <c r="N8" s="13"/>
      <c r="O8" s="13"/>
      <c r="P8" s="14"/>
      <c r="Q8" s="22"/>
      <c r="R8" s="22"/>
      <c r="S8" s="22"/>
      <c r="T8" s="23" t="s">
        <v>204</v>
      </c>
      <c r="U8" s="23" t="str">
        <f t="shared" si="2"/>
        <v/>
      </c>
      <c r="W8" s="3" t="s">
        <v>6</v>
      </c>
      <c r="X8" s="5">
        <f>-X1*B4</f>
        <v>-0.17849999442696571</v>
      </c>
      <c r="Z8" s="3" t="s">
        <v>47</v>
      </c>
      <c r="AA8" s="5">
        <f ca="1">SUM(OFFSET($AH$45,0,0,COUNT($AH$45:$AH$72)))</f>
        <v>-1611.4018874990195</v>
      </c>
      <c r="AC8" s="23">
        <v>50</v>
      </c>
      <c r="AD8" s="23">
        <f t="shared" si="0"/>
        <v>22.813121812107411</v>
      </c>
      <c r="AE8" s="23">
        <f t="array" ref="AE8:AG8">FLEXCOMPBIAXRS($B$4,$B$5,$B$6,$B$15,$B$16,$B$11,$B$12,$B$13,$B$7,$B$8,AC8,AD8,$B$3,$B$14)</f>
        <v>-2.7344635929686945E-2</v>
      </c>
      <c r="AF8" s="23">
        <v>2165.5030882515371</v>
      </c>
      <c r="AG8" s="23">
        <v>1903.7865770240858</v>
      </c>
      <c r="AI8" s="23">
        <v>50</v>
      </c>
      <c r="AJ8" s="23">
        <f t="shared" si="1"/>
        <v>22.813121812107411</v>
      </c>
      <c r="AK8" s="23">
        <f t="array" ref="AK8:AM8">FLEXCOMPBIAXRS($B$4,$B$5,$B$6,$B$15,$B$16,$B$11,$B$12,$B$13,$B$7,$B$8,AI8,AJ8,$B$3,$B$14)</f>
        <v>-2.7344635929686945E-2</v>
      </c>
      <c r="AL8" s="23">
        <v>2165.5030882515371</v>
      </c>
      <c r="AM8" s="23">
        <v>1903.7865770240858</v>
      </c>
      <c r="AO8" s="23">
        <v>-89.053557048164492</v>
      </c>
      <c r="AP8" s="23">
        <v>2486.8197183078341</v>
      </c>
      <c r="AQ8" s="23">
        <v>3100.066718741738</v>
      </c>
      <c r="AR8" s="23">
        <f t="shared" si="3"/>
        <v>3974.2302023307038</v>
      </c>
    </row>
    <row r="9" spans="1:44" x14ac:dyDescent="0.2">
      <c r="A9" s="11" t="s">
        <v>18</v>
      </c>
      <c r="B9" s="12">
        <v>38.542414201669445</v>
      </c>
      <c r="C9" s="13"/>
      <c r="D9" s="13"/>
      <c r="E9" s="13"/>
      <c r="F9" s="13"/>
      <c r="G9" s="13"/>
      <c r="H9" s="13"/>
      <c r="I9" s="26">
        <v>-91</v>
      </c>
      <c r="J9" s="26">
        <v>1800</v>
      </c>
      <c r="K9" s="26">
        <v>2300</v>
      </c>
      <c r="L9" s="7">
        <f t="shared" ref="L9" si="4">J9*COS($X$6)+K9*SIN($X$6)</f>
        <v>2840.9805595942762</v>
      </c>
      <c r="M9" s="7">
        <f>SQRT(I9^2+J9^2+K9^2)</f>
        <v>2922.0337095933714</v>
      </c>
      <c r="N9" s="13"/>
      <c r="O9" s="13"/>
      <c r="P9" s="14"/>
      <c r="Q9" s="22"/>
      <c r="R9" s="22"/>
      <c r="S9" s="22"/>
      <c r="T9" s="23" t="s">
        <v>206</v>
      </c>
      <c r="U9" s="23" t="str">
        <f t="shared" si="2"/>
        <v/>
      </c>
      <c r="W9" s="3" t="s">
        <v>48</v>
      </c>
      <c r="X9" s="5">
        <f t="array" ref="X9:X11">MOMENTSPOLY(A45:B49)</f>
        <v>3600</v>
      </c>
      <c r="Z9" s="3" t="s">
        <v>49</v>
      </c>
      <c r="AA9" s="5">
        <f ca="1">SUM(OFFSET($AI$45,0,0,COUNT($AI$45:$AI$72)))</f>
        <v>-18.013652058048166</v>
      </c>
      <c r="AC9" s="23">
        <v>60</v>
      </c>
      <c r="AD9" s="23">
        <f t="shared" si="0"/>
        <v>21.249515657685606</v>
      </c>
      <c r="AE9" s="23">
        <f t="array" ref="AE9:AG9">FLEXCOMPBIAXRS($B$4,$B$5,$B$6,$B$15,$B$16,$B$11,$B$12,$B$13,$B$7,$B$8,AC9,AD9,$B$3,$B$14)</f>
        <v>1.6119982618441497E-2</v>
      </c>
      <c r="AF9" s="23">
        <v>2323.0008072896435</v>
      </c>
      <c r="AG9" s="23">
        <v>1613.750977007435</v>
      </c>
      <c r="AI9" s="23">
        <v>60</v>
      </c>
      <c r="AJ9" s="23">
        <f t="shared" si="1"/>
        <v>21.249515657685606</v>
      </c>
      <c r="AK9" s="23">
        <f t="array" ref="AK9:AM9">FLEXCOMPBIAXRS($B$4,$B$5,$B$6,$B$15,$B$16,$B$11,$B$12,$B$13,$B$7,$B$8,AI9,AJ9,$B$3,$B$14)</f>
        <v>1.6119982618441497E-2</v>
      </c>
      <c r="AL9" s="23">
        <v>2323.0008072896435</v>
      </c>
      <c r="AM9" s="23">
        <v>1613.750977007435</v>
      </c>
      <c r="AO9" s="23">
        <v>-145.97397558341356</v>
      </c>
      <c r="AP9" s="23">
        <v>2404.0353153015517</v>
      </c>
      <c r="AQ9" s="23">
        <v>3166.5800587813551</v>
      </c>
      <c r="AR9" s="23">
        <f t="shared" si="3"/>
        <v>3974.6709706651759</v>
      </c>
    </row>
    <row r="10" spans="1:44" x14ac:dyDescent="0.2">
      <c r="A10" s="11" t="s">
        <v>35</v>
      </c>
      <c r="B10" s="12">
        <v>37.838006154162528</v>
      </c>
      <c r="C10" s="13"/>
      <c r="D10" s="13"/>
      <c r="E10" s="13"/>
      <c r="F10" s="13"/>
      <c r="G10" s="13"/>
      <c r="H10" s="13"/>
      <c r="I10" s="27">
        <f>I9/M9</f>
        <v>-3.1142693426580458E-2</v>
      </c>
      <c r="J10" s="27">
        <f>J9/M9</f>
        <v>0.61600932052576729</v>
      </c>
      <c r="K10" s="27">
        <f>K9/M9</f>
        <v>0.78712302067181372</v>
      </c>
      <c r="L10" s="13"/>
      <c r="M10" s="13"/>
      <c r="N10" s="13"/>
      <c r="O10" s="13"/>
      <c r="P10" s="14"/>
      <c r="Q10" s="22"/>
      <c r="R10" s="22"/>
      <c r="S10" s="22"/>
      <c r="T10" s="23" t="s">
        <v>129</v>
      </c>
      <c r="U10" s="23" t="str">
        <f t="shared" si="2"/>
        <v/>
      </c>
      <c r="W10" s="3" t="s">
        <v>50</v>
      </c>
      <c r="X10" s="5">
        <v>108000</v>
      </c>
      <c r="Z10" s="3" t="s">
        <v>51</v>
      </c>
      <c r="AA10" s="5">
        <f ca="1">0.8*X2*(X8*(X9-X12)-B5*X12)</f>
        <v>-394.06706462365651</v>
      </c>
      <c r="AC10" s="23">
        <v>70</v>
      </c>
      <c r="AD10" s="23">
        <f t="shared" si="0"/>
        <v>18.389026543938471</v>
      </c>
      <c r="AE10" s="23">
        <f t="array" ref="AE10:AG10">FLEXCOMPBIAXRS($B$4,$B$5,$B$6,$B$15,$B$16,$B$11,$B$12,$B$13,$B$7,$B$8,AC10,AD10,$B$3,$B$14)</f>
        <v>2.7482648139880439E-2</v>
      </c>
      <c r="AF10" s="23">
        <v>2488.404410150546</v>
      </c>
      <c r="AG10" s="23">
        <v>1256.423138216189</v>
      </c>
      <c r="AI10" s="23">
        <v>70</v>
      </c>
      <c r="AJ10" s="23">
        <f t="shared" si="1"/>
        <v>18.389026543938471</v>
      </c>
      <c r="AK10" s="23">
        <f t="array" ref="AK10:AM10">FLEXCOMPBIAXRS($B$4,$B$5,$B$6,$B$15,$B$16,$B$11,$B$12,$B$13,$B$7,$B$8,AI10,AJ10,$B$3,$B$14)</f>
        <v>2.7482648139880439E-2</v>
      </c>
      <c r="AL10" s="23">
        <v>2488.404410150546</v>
      </c>
      <c r="AM10" s="23">
        <v>1256.423138216189</v>
      </c>
      <c r="AO10" s="23">
        <v>-175.58531874189677</v>
      </c>
      <c r="AP10" s="23">
        <v>2264.3156654104509</v>
      </c>
      <c r="AQ10" s="23">
        <v>3138.1730396200278</v>
      </c>
      <c r="AR10" s="23">
        <f t="shared" si="3"/>
        <v>3865.394054242297</v>
      </c>
    </row>
    <row r="11" spans="1:44" x14ac:dyDescent="0.2">
      <c r="A11" s="11" t="s">
        <v>9</v>
      </c>
      <c r="B11" s="12">
        <v>2</v>
      </c>
      <c r="C11" s="13"/>
      <c r="D11" s="13"/>
      <c r="E11" s="13"/>
      <c r="F11" s="13"/>
      <c r="G11" s="13"/>
      <c r="H11" s="13"/>
      <c r="I11" s="24"/>
      <c r="J11" s="13"/>
      <c r="K11" s="13"/>
      <c r="L11" s="13"/>
      <c r="M11" s="13"/>
      <c r="N11" s="13"/>
      <c r="O11" s="13"/>
      <c r="P11" s="14"/>
      <c r="Q11" s="22"/>
      <c r="R11" s="22"/>
      <c r="S11" s="22"/>
      <c r="T11" s="23" t="s">
        <v>201</v>
      </c>
      <c r="U11" s="23" t="str">
        <f t="shared" si="2"/>
        <v/>
      </c>
      <c r="W11" s="3" t="s">
        <v>55</v>
      </c>
      <c r="X11" s="5">
        <v>108000</v>
      </c>
      <c r="Z11" s="3" t="s">
        <v>56</v>
      </c>
      <c r="AA11" s="5">
        <f t="array" aca="1" ref="AA11:AA13" ca="1">MOMENTSPOLY(OFFSET($H$45,0,0,COUNT($H$45:$H$51),2))</f>
        <v>1061.2616270217986</v>
      </c>
      <c r="AC11" s="23">
        <v>80</v>
      </c>
      <c r="AD11" s="23">
        <f t="shared" si="0"/>
        <v>13.642473116753315</v>
      </c>
      <c r="AE11" s="23">
        <f t="array" ref="AE11:AG11">FLEXCOMPBIAXRS($B$4,$B$5,$B$6,$B$15,$B$16,$B$11,$B$12,$B$13,$B$7,$B$8,AC11,AD11,$B$3,$B$14)</f>
        <v>1.5604235005888256E-2</v>
      </c>
      <c r="AF11" s="23">
        <v>2616.6643279891114</v>
      </c>
      <c r="AG11" s="23">
        <v>692.3877062308045</v>
      </c>
      <c r="AI11" s="23">
        <v>80</v>
      </c>
      <c r="AJ11" s="23">
        <f t="shared" si="1"/>
        <v>13.642473116753315</v>
      </c>
      <c r="AK11" s="23">
        <f t="array" ref="AK11:AM11">FLEXCOMPBIAXRS($B$4,$B$5,$B$6,$B$15,$B$16,$B$11,$B$12,$B$13,$B$7,$B$8,AI11,AJ11,$B$3,$B$14)</f>
        <v>1.5604235005888256E-2</v>
      </c>
      <c r="AL11" s="23">
        <v>2616.6643279891114</v>
      </c>
      <c r="AM11" s="23">
        <v>692.3877062308045</v>
      </c>
      <c r="AO11" s="23">
        <v>-223.56995638851956</v>
      </c>
      <c r="AP11" s="23">
        <v>2200.859236415979</v>
      </c>
      <c r="AQ11" s="23">
        <v>3140.369788182752</v>
      </c>
      <c r="AR11" s="23">
        <f t="shared" si="3"/>
        <v>3827.5729269755375</v>
      </c>
    </row>
    <row r="12" spans="1:44" x14ac:dyDescent="0.2">
      <c r="A12" s="11" t="s">
        <v>10</v>
      </c>
      <c r="B12" s="12">
        <v>1.6</v>
      </c>
      <c r="C12" s="13"/>
      <c r="D12" s="13"/>
      <c r="E12" s="13"/>
      <c r="F12" s="13"/>
      <c r="G12" s="13"/>
      <c r="H12" s="13"/>
      <c r="I12" s="25" t="s">
        <v>125</v>
      </c>
      <c r="J12" s="13"/>
      <c r="K12" s="13"/>
      <c r="L12" s="13"/>
      <c r="M12" s="13"/>
      <c r="N12" s="13"/>
      <c r="O12" s="13"/>
      <c r="P12" s="14"/>
      <c r="Q12" s="22"/>
      <c r="R12" s="22"/>
      <c r="S12" s="22"/>
      <c r="T12" s="23" t="s">
        <v>130</v>
      </c>
      <c r="U12" s="23" t="str">
        <f t="shared" si="2"/>
        <v/>
      </c>
      <c r="W12" s="3" t="s">
        <v>57</v>
      </c>
      <c r="X12" s="5">
        <f t="array" aca="1" ref="X12:X14" ca="1">MOMENTSPUNT(OFFSET($W$45,0,0,COUNT($W$45:$W$72),3))</f>
        <v>28.651325000738908</v>
      </c>
      <c r="Z12" s="3" t="s">
        <v>58</v>
      </c>
      <c r="AA12" s="5">
        <f ca="1"/>
        <v>21984.767717356419</v>
      </c>
      <c r="AC12" s="23">
        <v>90</v>
      </c>
      <c r="AD12" s="23">
        <f t="shared" si="0"/>
        <v>7.8543090820312518</v>
      </c>
      <c r="AE12" s="23">
        <f t="array" ref="AE12:AG12">FLEXCOMPBIAXRS($B$4,$B$5,$B$6,$B$15,$B$16,$B$11,$B$12,$B$13,$B$7,$B$8,AC12,AD12,$B$3,$B$14)</f>
        <v>-1.3089322330458231E-2</v>
      </c>
      <c r="AF12" s="23">
        <v>2683.7497064721451</v>
      </c>
      <c r="AG12" s="23">
        <v>2.9011330138339561E-13</v>
      </c>
      <c r="AI12" s="23">
        <v>90</v>
      </c>
      <c r="AJ12" s="23">
        <f t="shared" si="1"/>
        <v>7.8543090820312518</v>
      </c>
      <c r="AK12" s="23">
        <f t="array" ref="AK12:AM12">FLEXCOMPBIAXRS($B$4,$B$5,$B$6,$B$15,$B$16,$B$11,$B$12,$B$13,$B$7,$B$8,AI12,AJ12,$B$3,$B$14)</f>
        <v>-1.3089322330458231E-2</v>
      </c>
      <c r="AL12" s="23">
        <v>2683.7497064721451</v>
      </c>
      <c r="AM12" s="23">
        <v>2.9011330138339561E-13</v>
      </c>
      <c r="AO12" s="23">
        <v>-280.90941873340279</v>
      </c>
      <c r="AP12" s="23">
        <v>2119.5630868984217</v>
      </c>
      <c r="AQ12" s="23">
        <v>2900.1650611281138</v>
      </c>
      <c r="AR12" s="23">
        <f t="shared" si="3"/>
        <v>3589.0423655045142</v>
      </c>
    </row>
    <row r="13" spans="1:44" x14ac:dyDescent="0.2">
      <c r="A13" s="11" t="s">
        <v>11</v>
      </c>
      <c r="B13" s="12">
        <v>1</v>
      </c>
      <c r="C13" s="13"/>
      <c r="D13" s="13"/>
      <c r="E13" s="13"/>
      <c r="F13" s="13"/>
      <c r="G13" s="13"/>
      <c r="H13" s="13"/>
      <c r="I13" s="6" t="s">
        <v>52</v>
      </c>
      <c r="J13" s="6" t="s">
        <v>53</v>
      </c>
      <c r="K13" s="6" t="s">
        <v>54</v>
      </c>
      <c r="L13" s="13"/>
      <c r="M13" s="6" t="s">
        <v>127</v>
      </c>
      <c r="N13" s="13"/>
      <c r="O13" s="13"/>
      <c r="P13" s="14"/>
      <c r="Q13" s="22"/>
      <c r="R13" s="22"/>
      <c r="S13" s="22"/>
      <c r="T13" s="23" t="s">
        <v>131</v>
      </c>
      <c r="U13" s="23" t="str">
        <f t="shared" si="2"/>
        <v/>
      </c>
      <c r="W13" s="3" t="s">
        <v>59</v>
      </c>
      <c r="X13" s="5">
        <f ca="1"/>
        <v>859.53975002216737</v>
      </c>
      <c r="Z13" s="3" t="s">
        <v>60</v>
      </c>
      <c r="AA13" s="5">
        <f ca="1"/>
        <v>154.03573122783305</v>
      </c>
      <c r="AC13" s="23">
        <v>100</v>
      </c>
      <c r="AD13" s="23">
        <f t="shared" si="0"/>
        <v>13.642473116753315</v>
      </c>
      <c r="AE13" s="23">
        <f t="array" ref="AE13:AG13">FLEXCOMPBIAXRS($B$4,$B$5,$B$6,$B$15,$B$16,$B$11,$B$12,$B$13,$B$7,$B$8,AC13,AD13,$B$3,$B$14)</f>
        <v>1.5604235005859834E-2</v>
      </c>
      <c r="AF13" s="23">
        <v>2616.6643279891127</v>
      </c>
      <c r="AG13" s="23">
        <v>-692.38770623080438</v>
      </c>
      <c r="AI13" s="23">
        <v>100</v>
      </c>
      <c r="AJ13" s="23">
        <f t="shared" si="1"/>
        <v>13.642473116753315</v>
      </c>
      <c r="AK13" s="23">
        <f t="array" ref="AK13:AM13">FLEXCOMPBIAXRS($B$4,$B$5,$B$6,$B$15,$B$16,$B$11,$B$12,$B$13,$B$7,$B$8,AI13,AJ13,$B$3,$B$14)</f>
        <v>1.5604235005859834E-2</v>
      </c>
      <c r="AL13" s="23">
        <v>2616.6643279891127</v>
      </c>
      <c r="AM13" s="23">
        <v>-692.38770623080438</v>
      </c>
      <c r="AO13" s="23">
        <v>-345.20765080126711</v>
      </c>
      <c r="AP13" s="23">
        <v>1885.3032272426376</v>
      </c>
      <c r="AQ13" s="23">
        <v>2342.2815983435439</v>
      </c>
      <c r="AR13" s="23">
        <f t="shared" si="3"/>
        <v>3006.7295571105842</v>
      </c>
    </row>
    <row r="14" spans="1:44" x14ac:dyDescent="0.2">
      <c r="A14" s="11" t="s">
        <v>110</v>
      </c>
      <c r="B14" s="12">
        <v>0</v>
      </c>
      <c r="C14" s="13"/>
      <c r="D14" s="13"/>
      <c r="E14" s="13"/>
      <c r="F14" s="13"/>
      <c r="G14" s="13"/>
      <c r="H14" s="13"/>
      <c r="I14" s="7">
        <f>ROUND(I5/I10-1,3)</f>
        <v>-1E-3</v>
      </c>
      <c r="J14" s="7">
        <f>ROUND(J5/J10-1,3)</f>
        <v>1E-3</v>
      </c>
      <c r="K14" s="7">
        <f>ROUND(K5/K10-1,3)</f>
        <v>0</v>
      </c>
      <c r="L14" s="13"/>
      <c r="M14" s="7">
        <f>M4/M9</f>
        <v>1.3749865701191035</v>
      </c>
      <c r="N14" s="13"/>
      <c r="O14" s="13"/>
      <c r="P14" s="14"/>
      <c r="Q14" s="22"/>
      <c r="R14" s="22"/>
      <c r="S14" s="22"/>
      <c r="T14" s="23" t="s">
        <v>202</v>
      </c>
      <c r="U14" s="23" t="str">
        <f t="shared" si="2"/>
        <v/>
      </c>
      <c r="W14" s="3" t="s">
        <v>62</v>
      </c>
      <c r="X14" s="5">
        <f ca="1"/>
        <v>859.53975002216725</v>
      </c>
      <c r="Z14" s="3" t="s">
        <v>63</v>
      </c>
      <c r="AA14" s="5">
        <f ca="1">AA11*$X$8</f>
        <v>-189.43519450894362</v>
      </c>
      <c r="AC14" s="23">
        <v>110</v>
      </c>
      <c r="AD14" s="23">
        <f t="shared" si="0"/>
        <v>18.389026543938471</v>
      </c>
      <c r="AE14" s="23">
        <f t="array" ref="AE14:AG14">FLEXCOMPBIAXRS($B$4,$B$5,$B$6,$B$15,$B$16,$B$11,$B$12,$B$13,$B$7,$B$8,AC14,AD14,$B$3,$B$14)</f>
        <v>2.7482648139887544E-2</v>
      </c>
      <c r="AF14" s="23">
        <v>2488.4044101505465</v>
      </c>
      <c r="AG14" s="23">
        <v>-1256.4231382161888</v>
      </c>
      <c r="AI14" s="23">
        <v>110</v>
      </c>
      <c r="AJ14" s="23">
        <f t="shared" si="1"/>
        <v>18.389026543938471</v>
      </c>
      <c r="AK14" s="23">
        <f t="array" ref="AK14:AM14">FLEXCOMPBIAXRS($B$4,$B$5,$B$6,$B$15,$B$16,$B$11,$B$12,$B$13,$B$7,$B$8,AI14,AJ14,$B$3,$B$14)</f>
        <v>2.7482648139887544E-2</v>
      </c>
      <c r="AL14" s="23">
        <v>2488.4044101505465</v>
      </c>
      <c r="AM14" s="23">
        <v>-1256.4231382161888</v>
      </c>
      <c r="AO14" s="23">
        <v>-394.06706462365651</v>
      </c>
      <c r="AP14" s="23">
        <v>1295.3766164789004</v>
      </c>
      <c r="AQ14" s="23">
        <v>1507.5817801981696</v>
      </c>
      <c r="AR14" s="23">
        <f t="shared" si="3"/>
        <v>1986.2918855575213</v>
      </c>
    </row>
    <row r="15" spans="1:44" x14ac:dyDescent="0.2">
      <c r="A15" s="11" t="s">
        <v>16</v>
      </c>
      <c r="B15" s="12">
        <v>60</v>
      </c>
      <c r="C15" s="13"/>
      <c r="D15" s="13"/>
      <c r="E15" s="13"/>
      <c r="F15" s="13"/>
      <c r="G15" s="13"/>
      <c r="H15" s="13"/>
      <c r="I15" s="24"/>
      <c r="J15" s="13"/>
      <c r="K15" s="13"/>
      <c r="L15" s="13"/>
      <c r="M15" s="13"/>
      <c r="N15" s="13"/>
      <c r="O15" s="13"/>
      <c r="P15" s="14"/>
      <c r="Q15" s="22"/>
      <c r="R15" s="22"/>
      <c r="S15" s="22"/>
      <c r="T15" s="23" t="s">
        <v>205</v>
      </c>
      <c r="U15" s="23" t="str">
        <f t="shared" si="2"/>
        <v/>
      </c>
      <c r="W15" s="3" t="s">
        <v>64</v>
      </c>
      <c r="X15" s="5">
        <f ca="1">(-X11*X8+(B5+X8)*X14)/(-X8*X9+(B5+X8)*X12)</f>
        <v>30.000000000000004</v>
      </c>
      <c r="Z15" s="3" t="s">
        <v>65</v>
      </c>
      <c r="AA15" s="5">
        <f ca="1">AA12*$X$8</f>
        <v>-3924.2809150262565</v>
      </c>
      <c r="AC15" s="23">
        <v>120</v>
      </c>
      <c r="AD15" s="23">
        <f t="shared" si="0"/>
        <v>21.249515657685599</v>
      </c>
      <c r="AE15" s="23">
        <f t="array" ref="AE15:AG15">FLEXCOMPBIAXRS($B$4,$B$5,$B$6,$B$15,$B$16,$B$11,$B$12,$B$13,$B$7,$B$8,AC15,AD15,$B$3,$B$14)</f>
        <v>1.6119982618441497E-2</v>
      </c>
      <c r="AF15" s="23">
        <v>2323.000807289643</v>
      </c>
      <c r="AG15" s="23">
        <v>-1613.7509770074341</v>
      </c>
      <c r="AI15" s="23">
        <v>120</v>
      </c>
      <c r="AJ15" s="23">
        <f t="shared" si="1"/>
        <v>21.249515657685599</v>
      </c>
      <c r="AK15" s="23">
        <f t="array" ref="AK15:AM15">FLEXCOMPBIAXRS($B$4,$B$5,$B$6,$B$15,$B$16,$B$11,$B$12,$B$13,$B$7,$B$8,AI15,AJ15,$B$3,$B$14)</f>
        <v>1.6119982618441497E-2</v>
      </c>
      <c r="AL15" s="23">
        <v>2323.000807289643</v>
      </c>
      <c r="AM15" s="23">
        <v>-1613.7509770074341</v>
      </c>
      <c r="AO15" s="23">
        <v>-394.06706462365651</v>
      </c>
      <c r="AP15" s="23">
        <v>784.77962795016776</v>
      </c>
      <c r="AQ15" s="23">
        <v>906.31529797666985</v>
      </c>
      <c r="AR15" s="23">
        <f t="shared" si="3"/>
        <v>1197.8632204692958</v>
      </c>
    </row>
    <row r="16" spans="1:44" x14ac:dyDescent="0.2">
      <c r="A16" s="11" t="s">
        <v>17</v>
      </c>
      <c r="B16" s="12">
        <v>60</v>
      </c>
      <c r="C16" s="13"/>
      <c r="D16" s="13"/>
      <c r="E16" s="13"/>
      <c r="F16" s="13"/>
      <c r="G16" s="13"/>
      <c r="H16" s="13"/>
      <c r="I16" s="24"/>
      <c r="J16" s="13"/>
      <c r="K16" s="13"/>
      <c r="L16" s="13"/>
      <c r="Q16" s="22"/>
      <c r="R16" s="22"/>
      <c r="S16" s="22"/>
      <c r="T16" s="23" t="s">
        <v>132</v>
      </c>
      <c r="U16" s="23" t="str">
        <f t="shared" si="2"/>
        <v/>
      </c>
      <c r="W16" s="3" t="s">
        <v>66</v>
      </c>
      <c r="X16" s="5">
        <f ca="1">(-X10*X8+(B5+X8)*X13)/(-X8*X9+(B5+X8)*X12)</f>
        <v>30.000000000000004</v>
      </c>
      <c r="Z16" s="3" t="s">
        <v>67</v>
      </c>
      <c r="AA16" s="5">
        <f ca="1">AA13*$X$8</f>
        <v>-27.495377165721788</v>
      </c>
      <c r="AC16" s="23">
        <v>130</v>
      </c>
      <c r="AD16" s="23">
        <f t="shared" si="0"/>
        <v>22.813121812107411</v>
      </c>
      <c r="AE16" s="23">
        <f t="array" ref="AE16:AG16">FLEXCOMPBIAXRS($B$4,$B$5,$B$6,$B$15,$B$16,$B$11,$B$12,$B$13,$B$7,$B$8,AC16,AD16,$B$3,$B$14)</f>
        <v>-2.7344635929672734E-2</v>
      </c>
      <c r="AF16" s="23">
        <v>2165.5030882515371</v>
      </c>
      <c r="AG16" s="23">
        <v>-1903.7865770240858</v>
      </c>
      <c r="AI16" s="23">
        <v>130</v>
      </c>
      <c r="AJ16" s="23">
        <f t="shared" si="1"/>
        <v>22.813121812107411</v>
      </c>
      <c r="AK16" s="23">
        <f t="array" ref="AK16:AM16">FLEXCOMPBIAXRS($B$4,$B$5,$B$6,$B$15,$B$16,$B$11,$B$12,$B$13,$B$7,$B$8,AI16,AJ16,$B$3,$B$14)</f>
        <v>-2.7344635929672734E-2</v>
      </c>
      <c r="AL16" s="23">
        <v>2165.5030882515371</v>
      </c>
      <c r="AM16" s="23">
        <v>-1903.7865770240858</v>
      </c>
      <c r="AO16" s="23">
        <v>-394.06706462365651</v>
      </c>
      <c r="AP16" s="23">
        <v>-1.3667773340334264E-13</v>
      </c>
      <c r="AQ16" s="23">
        <v>1.4105761483358394E-13</v>
      </c>
      <c r="AR16" s="23">
        <f t="shared" si="3"/>
        <v>2.5164757492314749E-14</v>
      </c>
    </row>
    <row r="17" spans="1:44" x14ac:dyDescent="0.2">
      <c r="A17" s="24"/>
      <c r="B17" s="13"/>
      <c r="C17" s="13"/>
      <c r="D17" s="13"/>
      <c r="E17" s="13"/>
      <c r="F17" s="13"/>
      <c r="G17" s="13"/>
      <c r="H17" s="13"/>
      <c r="I17" s="25" t="s">
        <v>68</v>
      </c>
      <c r="J17" s="13"/>
      <c r="K17" s="13"/>
      <c r="L17" s="13"/>
      <c r="Q17" s="22"/>
      <c r="R17" s="22"/>
      <c r="S17" s="22"/>
      <c r="T17" s="23" t="s">
        <v>207</v>
      </c>
      <c r="U17" s="23" t="str">
        <f t="shared" si="2"/>
        <v/>
      </c>
      <c r="W17" s="3" t="s">
        <v>69</v>
      </c>
      <c r="X17" s="5">
        <f>IF(B4&lt;=B3,0.85,IF(B4&gt;=2*B3,0.65,0.85-(0.85-0.65)*(B4/B3-1)))</f>
        <v>0.85</v>
      </c>
      <c r="Z17" s="3" t="s">
        <v>70</v>
      </c>
      <c r="AA17" s="5">
        <f ca="1">AA14+AA7</f>
        <v>-172.37298395642566</v>
      </c>
      <c r="AC17" s="23">
        <v>140</v>
      </c>
      <c r="AD17" s="23">
        <f t="shared" si="0"/>
        <v>22.813121812107411</v>
      </c>
      <c r="AE17" s="23">
        <f t="array" ref="AE17:AG17">FLEXCOMPBIAXRS($B$4,$B$5,$B$6,$B$15,$B$16,$B$11,$B$12,$B$13,$B$7,$B$8,AC17,AD17,$B$3,$B$14)</f>
        <v>-2.7344635929686945E-2</v>
      </c>
      <c r="AF17" s="23">
        <v>1903.786577024086</v>
      </c>
      <c r="AG17" s="23">
        <v>-2165.5030882515371</v>
      </c>
      <c r="AI17" s="23">
        <v>140</v>
      </c>
      <c r="AJ17" s="23">
        <f t="shared" si="1"/>
        <v>22.813121812107411</v>
      </c>
      <c r="AK17" s="23">
        <f t="array" ref="AK17:AM17">FLEXCOMPBIAXRS($B$4,$B$5,$B$6,$B$15,$B$16,$B$11,$B$12,$B$13,$B$7,$B$8,AI17,AJ17,$B$3,$B$14)</f>
        <v>-2.7344635929686945E-2</v>
      </c>
      <c r="AL17" s="23">
        <v>1903.786577024086</v>
      </c>
      <c r="AM17" s="23">
        <v>-2165.5030882515371</v>
      </c>
      <c r="AO17" s="23">
        <f t="array" ref="AO17:AQ30">DIAGRAFLEXCOMPRS(B4,B5,B6,B15,B16,B11,B12,B13,B7,B8,B9+180,B3,B14)</f>
        <v>108.30200358446717</v>
      </c>
      <c r="AP17" s="23">
        <v>2.6750524991656887E-14</v>
      </c>
      <c r="AQ17" s="23">
        <v>-5.7648740206550226E-14</v>
      </c>
      <c r="AR17" s="23">
        <f t="shared" si="3"/>
        <v>-2.8421709430403979E-14</v>
      </c>
    </row>
    <row r="18" spans="1:44" x14ac:dyDescent="0.2">
      <c r="A18" s="24"/>
      <c r="B18" s="13"/>
      <c r="C18" s="13"/>
      <c r="D18" s="13"/>
      <c r="E18" s="13"/>
      <c r="F18" s="13"/>
      <c r="G18" s="13"/>
      <c r="H18" s="13"/>
      <c r="I18" s="24"/>
      <c r="J18" s="13"/>
      <c r="K18" s="13"/>
      <c r="L18" s="13"/>
      <c r="Q18" s="22"/>
      <c r="R18" s="22"/>
      <c r="S18" s="22"/>
      <c r="T18" s="23" t="s">
        <v>133</v>
      </c>
      <c r="U18" s="23" t="str">
        <f t="shared" si="2"/>
        <v/>
      </c>
      <c r="W18" s="3" t="s">
        <v>71</v>
      </c>
      <c r="X18" s="5">
        <f ca="1">MAX(F45:F53)</f>
        <v>42.15722761510245</v>
      </c>
      <c r="Z18" s="3" t="s">
        <v>72</v>
      </c>
      <c r="AA18" s="5">
        <f ca="1">AA15+AA8</f>
        <v>-5535.6828025252762</v>
      </c>
      <c r="AC18" s="23">
        <v>150</v>
      </c>
      <c r="AD18" s="23">
        <f t="shared" si="0"/>
        <v>21.249515657685606</v>
      </c>
      <c r="AE18" s="23">
        <f t="array" ref="AE18:AG18">FLEXCOMPBIAXRS($B$4,$B$5,$B$6,$B$15,$B$16,$B$11,$B$12,$B$13,$B$7,$B$8,AC18,AD18,$B$3,$B$14)</f>
        <v>1.6119982618427287E-2</v>
      </c>
      <c r="AF18" s="23">
        <v>1613.7509770074353</v>
      </c>
      <c r="AG18" s="23">
        <v>-2323.0008072896444</v>
      </c>
      <c r="AI18" s="23">
        <v>150</v>
      </c>
      <c r="AJ18" s="23">
        <f t="shared" si="1"/>
        <v>21.249515657685606</v>
      </c>
      <c r="AK18" s="23">
        <f t="array" ref="AK18:AM18">FLEXCOMPBIAXRS($B$4,$B$5,$B$6,$B$15,$B$16,$B$11,$B$12,$B$13,$B$7,$B$8,AI18,AJ18,$B$3,$B$14)</f>
        <v>1.6119982618427287E-2</v>
      </c>
      <c r="AL18" s="23">
        <v>1613.7509770074353</v>
      </c>
      <c r="AM18" s="23">
        <v>-2323.0008072896444</v>
      </c>
      <c r="AO18" s="23">
        <v>95.349299598916758</v>
      </c>
      <c r="AP18" s="23">
        <v>-248.85899018291499</v>
      </c>
      <c r="AQ18" s="23">
        <v>-266.93841740914092</v>
      </c>
      <c r="AR18" s="23">
        <f t="shared" si="3"/>
        <v>-363.84760828833373</v>
      </c>
    </row>
    <row r="19" spans="1:44" x14ac:dyDescent="0.2">
      <c r="A19" s="24"/>
      <c r="B19" s="13"/>
      <c r="C19" s="13"/>
      <c r="D19" s="13"/>
      <c r="E19" s="13"/>
      <c r="F19" s="13"/>
      <c r="G19" s="13"/>
      <c r="H19" s="13"/>
      <c r="I19" s="24"/>
      <c r="J19" s="13"/>
      <c r="K19" s="13"/>
      <c r="L19" s="13"/>
      <c r="Q19" s="22"/>
      <c r="R19" s="22"/>
      <c r="S19" s="22"/>
      <c r="T19" s="23" t="s">
        <v>198</v>
      </c>
      <c r="U19" s="23" t="str">
        <f t="shared" si="2"/>
        <v/>
      </c>
      <c r="W19" s="3" t="s">
        <v>17</v>
      </c>
      <c r="X19" s="5">
        <f ca="1">X18-MIN(F45:F53)</f>
        <v>84.314455230204899</v>
      </c>
      <c r="Z19" s="3" t="s">
        <v>73</v>
      </c>
      <c r="AA19" s="5">
        <f ca="1">AA16+AA9</f>
        <v>-45.509029223769957</v>
      </c>
      <c r="AC19" s="23">
        <v>160</v>
      </c>
      <c r="AD19" s="23">
        <f t="shared" si="0"/>
        <v>18.389026543938471</v>
      </c>
      <c r="AE19" s="23">
        <f t="array" ref="AE19:AG19">FLEXCOMPBIAXRS($B$4,$B$5,$B$6,$B$15,$B$16,$B$11,$B$12,$B$13,$B$7,$B$8,AC19,AD19,$B$3,$B$14)</f>
        <v>2.7482648139887544E-2</v>
      </c>
      <c r="AF19" s="23">
        <v>1256.4231382161893</v>
      </c>
      <c r="AG19" s="23">
        <v>-2488.404410150546</v>
      </c>
      <c r="AI19" s="23">
        <v>160</v>
      </c>
      <c r="AJ19" s="23">
        <f t="shared" si="1"/>
        <v>18.389026543938471</v>
      </c>
      <c r="AK19" s="23">
        <f t="array" ref="AK19:AM19">FLEXCOMPBIAXRS($B$4,$B$5,$B$6,$B$15,$B$16,$B$11,$B$12,$B$13,$B$7,$B$8,AI19,AJ19,$B$3,$B$14)</f>
        <v>2.7482648139887544E-2</v>
      </c>
      <c r="AL19" s="23">
        <v>1256.4231382161893</v>
      </c>
      <c r="AM19" s="23">
        <v>-2488.404410150546</v>
      </c>
      <c r="AO19" s="23">
        <v>56.219142642837483</v>
      </c>
      <c r="AP19" s="23">
        <v>-1032.4201933605393</v>
      </c>
      <c r="AQ19" s="23">
        <v>-1121.9361895355514</v>
      </c>
      <c r="AR19" s="23">
        <f t="shared" si="3"/>
        <v>-1520.8137810302972</v>
      </c>
    </row>
    <row r="20" spans="1:44" x14ac:dyDescent="0.2">
      <c r="A20" s="24"/>
      <c r="B20" s="13"/>
      <c r="C20" s="13"/>
      <c r="D20" s="13"/>
      <c r="E20" s="13"/>
      <c r="F20" s="13"/>
      <c r="G20" s="13"/>
      <c r="H20" s="13"/>
      <c r="I20" s="29" t="s">
        <v>74</v>
      </c>
      <c r="J20" s="30"/>
      <c r="K20" s="31" t="s">
        <v>112</v>
      </c>
      <c r="L20" s="32"/>
      <c r="M20" s="33"/>
      <c r="N20" s="13"/>
      <c r="O20" s="13"/>
      <c r="P20" s="14"/>
      <c r="Q20" s="22"/>
      <c r="R20" s="22"/>
      <c r="S20" s="22"/>
      <c r="T20" s="23" t="s">
        <v>203</v>
      </c>
      <c r="U20" s="23" t="str">
        <f t="shared" si="2"/>
        <v/>
      </c>
      <c r="W20" s="3" t="s">
        <v>76</v>
      </c>
      <c r="X20" s="5">
        <f ca="1">MIN(IF(B10&lt;=0,0,X17*B10),X19)</f>
        <v>32.162305231038147</v>
      </c>
      <c r="Z20" s="3" t="s">
        <v>77</v>
      </c>
      <c r="AA20" s="5">
        <f ca="1">-AA18*COS(X6)-AA19*SIN(X6)</f>
        <v>4358.0747284521758</v>
      </c>
      <c r="AC20" s="23">
        <v>170</v>
      </c>
      <c r="AD20" s="23">
        <f t="shared" si="0"/>
        <v>13.642473116753315</v>
      </c>
      <c r="AE20" s="23">
        <f t="array" ref="AE20:AG20">FLEXCOMPBIAXRS($B$4,$B$5,$B$6,$B$15,$B$16,$B$11,$B$12,$B$13,$B$7,$B$8,AC20,AD20,$B$3,$B$14)</f>
        <v>1.5604235005874045E-2</v>
      </c>
      <c r="AF20" s="23">
        <v>692.38770623080427</v>
      </c>
      <c r="AG20" s="23">
        <v>-2616.6643279891123</v>
      </c>
      <c r="AI20" s="23">
        <v>170</v>
      </c>
      <c r="AJ20" s="23">
        <f t="shared" si="1"/>
        <v>13.642473116753315</v>
      </c>
      <c r="AK20" s="23">
        <f t="array" ref="AK20:AM20">FLEXCOMPBIAXRS($B$4,$B$5,$B$6,$B$15,$B$16,$B$11,$B$12,$B$13,$B$7,$B$8,AI20,AJ20,$B$3,$B$14)</f>
        <v>1.5604235005874045E-2</v>
      </c>
      <c r="AL20" s="23">
        <v>692.38770623080427</v>
      </c>
      <c r="AM20" s="23">
        <v>-2616.6643279891123</v>
      </c>
      <c r="AO20" s="23">
        <v>12.948958411247212</v>
      </c>
      <c r="AP20" s="23">
        <v>-1690.7699537302205</v>
      </c>
      <c r="AQ20" s="23">
        <v>-1957.7490946674059</v>
      </c>
      <c r="AR20" s="23">
        <f t="shared" si="3"/>
        <v>-2584.7560910225175</v>
      </c>
    </row>
    <row r="21" spans="1:44" x14ac:dyDescent="0.2">
      <c r="A21" s="34"/>
      <c r="B21" s="35"/>
      <c r="C21" s="35"/>
      <c r="D21" s="35"/>
      <c r="E21" s="35"/>
      <c r="F21" s="35"/>
      <c r="G21" s="35"/>
      <c r="H21" s="35"/>
      <c r="I21" s="29" t="s">
        <v>78</v>
      </c>
      <c r="J21" s="30"/>
      <c r="K21" s="36">
        <v>20</v>
      </c>
      <c r="L21" s="35"/>
      <c r="M21" s="35"/>
      <c r="N21" s="35"/>
      <c r="O21" s="35"/>
      <c r="P21" s="37"/>
      <c r="Q21" s="22"/>
      <c r="R21" s="22"/>
      <c r="S21" s="22"/>
      <c r="T21" s="23" t="s">
        <v>134</v>
      </c>
      <c r="U21" s="23" t="str">
        <f t="shared" si="2"/>
        <v/>
      </c>
      <c r="W21" s="3" t="s">
        <v>79</v>
      </c>
      <c r="X21" s="5">
        <f ca="1">X18-X20</f>
        <v>9.9949223840643029</v>
      </c>
      <c r="Z21" s="3" t="s">
        <v>80</v>
      </c>
      <c r="AA21" s="5">
        <f ca="1">-AA18*SIN(X6)+AA19*COS(X6)</f>
        <v>3413.654906861776</v>
      </c>
      <c r="AC21" s="23">
        <v>180</v>
      </c>
      <c r="AD21" s="23">
        <f t="shared" si="0"/>
        <v>7.8543090820312518</v>
      </c>
      <c r="AE21" s="23">
        <f t="array" ref="AE21:AG21">FLEXCOMPBIAXRS($B$4,$B$5,$B$6,$B$15,$B$16,$B$11,$B$12,$B$13,$B$7,$B$8,AC21,AD21,$B$3,$B$14)</f>
        <v>-1.3089322330458231E-2</v>
      </c>
      <c r="AF21" s="23">
        <v>5.6965439598467933E-13</v>
      </c>
      <c r="AG21" s="23">
        <v>-2683.7497064721456</v>
      </c>
      <c r="AI21" s="23">
        <v>180</v>
      </c>
      <c r="AJ21" s="23">
        <f t="shared" si="1"/>
        <v>7.8543090820312518</v>
      </c>
      <c r="AK21" s="23">
        <f t="array" ref="AK21:AM21">FLEXCOMPBIAXRS($B$4,$B$5,$B$6,$B$15,$B$16,$B$11,$B$12,$B$13,$B$7,$B$8,AI21,AJ21,$B$3,$B$14)</f>
        <v>-1.3089322330458231E-2</v>
      </c>
      <c r="AL21" s="23">
        <v>5.6965439598467933E-13</v>
      </c>
      <c r="AM21" s="23">
        <v>-2683.7497064721456</v>
      </c>
      <c r="AO21" s="23">
        <v>-46.236556895807944</v>
      </c>
      <c r="AP21" s="23">
        <v>-2402.9655195571941</v>
      </c>
      <c r="AQ21" s="23">
        <v>-2934.8985752143831</v>
      </c>
      <c r="AR21" s="23">
        <f t="shared" si="3"/>
        <v>-3792.7953835635617</v>
      </c>
    </row>
    <row r="22" spans="1:44" x14ac:dyDescent="0.2">
      <c r="A22" s="24"/>
      <c r="B22" s="13"/>
      <c r="C22" s="13"/>
      <c r="D22" s="13"/>
      <c r="E22" s="13"/>
      <c r="F22" s="13"/>
      <c r="G22" s="13"/>
      <c r="H22" s="13"/>
      <c r="I22" s="24"/>
      <c r="J22" s="13"/>
      <c r="K22" s="13"/>
      <c r="L22" s="13"/>
      <c r="M22" s="13"/>
      <c r="N22" s="13"/>
      <c r="O22" s="13"/>
      <c r="P22" s="14"/>
      <c r="Q22" s="22"/>
      <c r="R22" s="22"/>
      <c r="S22" s="22"/>
      <c r="T22" s="23" t="s">
        <v>135</v>
      </c>
      <c r="U22" s="23" t="str">
        <f t="shared" si="2"/>
        <v/>
      </c>
      <c r="Z22" s="3" t="s">
        <v>81</v>
      </c>
      <c r="AA22" s="19">
        <f ca="1">MAX($AA$6*AA17,AA10)</f>
        <v>-125.04219080811815</v>
      </c>
      <c r="AC22" s="23">
        <v>190</v>
      </c>
      <c r="AD22" s="23">
        <f t="shared" si="0"/>
        <v>13.642473116753315</v>
      </c>
      <c r="AE22" s="23">
        <f t="array" ref="AE22:AG22">FLEXCOMPBIAXRS($B$4,$B$5,$B$6,$B$15,$B$16,$B$11,$B$12,$B$13,$B$7,$B$8,AC22,AD22,$B$3,$B$14)</f>
        <v>1.5604235005781675E-2</v>
      </c>
      <c r="AF22" s="23">
        <v>-692.38770623080302</v>
      </c>
      <c r="AG22" s="23">
        <v>-2616.6643279891155</v>
      </c>
      <c r="AI22" s="23">
        <v>190</v>
      </c>
      <c r="AJ22" s="23">
        <f t="shared" si="1"/>
        <v>13.642473116753315</v>
      </c>
      <c r="AK22" s="23">
        <f t="array" ref="AK22:AM22">FLEXCOMPBIAXRS($B$4,$B$5,$B$6,$B$15,$B$16,$B$11,$B$12,$B$13,$B$7,$B$8,AI22,AJ22,$B$3,$B$14)</f>
        <v>1.5604235005781675E-2</v>
      </c>
      <c r="AL22" s="23">
        <v>-692.38770623080302</v>
      </c>
      <c r="AM22" s="23">
        <v>-2616.6643279891155</v>
      </c>
      <c r="AO22" s="23">
        <v>-89.053557048164464</v>
      </c>
      <c r="AP22" s="23">
        <v>-2486.8197183078319</v>
      </c>
      <c r="AQ22" s="23">
        <v>-3100.0667187417384</v>
      </c>
      <c r="AR22" s="23">
        <f t="shared" si="3"/>
        <v>-3974.2302023307029</v>
      </c>
    </row>
    <row r="23" spans="1:44" x14ac:dyDescent="0.2">
      <c r="A23" s="24"/>
      <c r="B23" s="13"/>
      <c r="C23" s="13"/>
      <c r="D23" s="13"/>
      <c r="E23" s="13"/>
      <c r="F23" s="13"/>
      <c r="G23" s="13"/>
      <c r="H23" s="13"/>
      <c r="I23" s="24"/>
      <c r="J23" s="13"/>
      <c r="K23" s="13"/>
      <c r="L23" s="13"/>
      <c r="M23" s="13"/>
      <c r="N23" s="13"/>
      <c r="O23" s="13"/>
      <c r="P23" s="14"/>
      <c r="Q23" s="22"/>
      <c r="R23" s="22"/>
      <c r="S23" s="22"/>
      <c r="T23" s="23" t="s">
        <v>196</v>
      </c>
      <c r="U23" s="23" t="str">
        <f t="shared" si="2"/>
        <v/>
      </c>
      <c r="Z23" s="3" t="s">
        <v>82</v>
      </c>
      <c r="AA23" s="19">
        <f ca="1">$AA$6*AA20</f>
        <v>3161.4189140504259</v>
      </c>
      <c r="AC23" s="23">
        <v>200</v>
      </c>
      <c r="AD23" s="23">
        <f t="shared" si="0"/>
        <v>18.389026543938463</v>
      </c>
      <c r="AE23" s="23">
        <f t="array" ref="AE23:AG23">FLEXCOMPBIAXRS($B$4,$B$5,$B$6,$B$15,$B$16,$B$11,$B$12,$B$13,$B$7,$B$8,AC23,AD23,$B$3,$B$14)</f>
        <v>2.7482648139859123E-2</v>
      </c>
      <c r="AF23" s="23">
        <v>-1256.4231382161888</v>
      </c>
      <c r="AG23" s="23">
        <v>-2488.4044101505465</v>
      </c>
      <c r="AI23" s="23">
        <v>200</v>
      </c>
      <c r="AJ23" s="23">
        <f t="shared" si="1"/>
        <v>18.389026543938463</v>
      </c>
      <c r="AK23" s="23">
        <f t="array" ref="AK23:AM23">FLEXCOMPBIAXRS($B$4,$B$5,$B$6,$B$15,$B$16,$B$11,$B$12,$B$13,$B$7,$B$8,AI23,AJ23,$B$3,$B$14)</f>
        <v>2.7482648139859123E-2</v>
      </c>
      <c r="AL23" s="23">
        <v>-1256.4231382161888</v>
      </c>
      <c r="AM23" s="23">
        <v>-2488.4044101505465</v>
      </c>
      <c r="AO23" s="23">
        <v>-145.97397558341353</v>
      </c>
      <c r="AP23" s="23">
        <v>-2404.035315301549</v>
      </c>
      <c r="AQ23" s="23">
        <v>-3166.5800587813555</v>
      </c>
      <c r="AR23" s="23">
        <f t="shared" si="3"/>
        <v>-3974.6709706651745</v>
      </c>
    </row>
    <row r="24" spans="1:44" x14ac:dyDescent="0.2">
      <c r="A24" s="24"/>
      <c r="B24" s="13"/>
      <c r="C24" s="13"/>
      <c r="D24" s="13"/>
      <c r="E24" s="13"/>
      <c r="F24" s="13"/>
      <c r="G24" s="13"/>
      <c r="H24" s="13"/>
      <c r="I24" s="24"/>
      <c r="J24" s="13"/>
      <c r="K24" s="13"/>
      <c r="L24" s="13"/>
      <c r="M24" s="13"/>
      <c r="N24" s="13"/>
      <c r="O24" s="13"/>
      <c r="P24" s="14"/>
      <c r="Q24" s="22"/>
      <c r="R24" s="22"/>
      <c r="S24" s="22"/>
      <c r="T24" s="23" t="s">
        <v>199</v>
      </c>
      <c r="U24" s="23" t="str">
        <f t="shared" si="2"/>
        <v/>
      </c>
      <c r="Z24" s="3" t="s">
        <v>83</v>
      </c>
      <c r="AA24" s="19">
        <f ca="1">$AA$6*AA21</f>
        <v>2476.3212797011338</v>
      </c>
      <c r="AC24" s="23">
        <v>210</v>
      </c>
      <c r="AD24" s="23">
        <f t="shared" si="0"/>
        <v>21.249515657685599</v>
      </c>
      <c r="AE24" s="23">
        <f t="array" ref="AE24:AG24">FLEXCOMPBIAXRS($B$4,$B$5,$B$6,$B$15,$B$16,$B$11,$B$12,$B$13,$B$7,$B$8,AC24,AD24,$B$3,$B$14)</f>
        <v>1.6119982618434392E-2</v>
      </c>
      <c r="AF24" s="23">
        <v>-1613.7509770074344</v>
      </c>
      <c r="AG24" s="23">
        <v>-2323.0008072896439</v>
      </c>
      <c r="AI24" s="23">
        <v>210</v>
      </c>
      <c r="AJ24" s="23">
        <f t="shared" si="1"/>
        <v>21.249515657685599</v>
      </c>
      <c r="AK24" s="23">
        <f t="array" ref="AK24:AM24">FLEXCOMPBIAXRS($B$4,$B$5,$B$6,$B$15,$B$16,$B$11,$B$12,$B$13,$B$7,$B$8,AI24,AJ24,$B$3,$B$14)</f>
        <v>1.6119982618434392E-2</v>
      </c>
      <c r="AL24" s="23">
        <v>-1613.7509770074344</v>
      </c>
      <c r="AM24" s="23">
        <v>-2323.0008072896439</v>
      </c>
      <c r="AO24" s="23">
        <v>-175.58531874189674</v>
      </c>
      <c r="AP24" s="23">
        <v>-2264.3156654104478</v>
      </c>
      <c r="AQ24" s="23">
        <v>-3138.1730396200282</v>
      </c>
      <c r="AR24" s="23">
        <f t="shared" si="3"/>
        <v>-3865.3940542422956</v>
      </c>
    </row>
    <row r="25" spans="1:44" x14ac:dyDescent="0.2">
      <c r="A25" s="24"/>
      <c r="B25" s="13"/>
      <c r="C25" s="13"/>
      <c r="D25" s="13"/>
      <c r="E25" s="13"/>
      <c r="F25" s="13"/>
      <c r="G25" s="13"/>
      <c r="H25" s="13"/>
      <c r="I25" s="24"/>
      <c r="J25" s="13"/>
      <c r="K25" s="13"/>
      <c r="L25" s="13"/>
      <c r="M25" s="13"/>
      <c r="N25" s="13"/>
      <c r="O25" s="13"/>
      <c r="P25" s="14"/>
      <c r="Q25" s="22"/>
      <c r="R25" s="22"/>
      <c r="S25" s="22"/>
      <c r="T25" s="23" t="s">
        <v>136</v>
      </c>
      <c r="U25" s="23" t="str">
        <f t="shared" si="2"/>
        <v/>
      </c>
      <c r="AC25" s="23">
        <v>220</v>
      </c>
      <c r="AD25" s="23">
        <f t="shared" si="0"/>
        <v>22.813121812107411</v>
      </c>
      <c r="AE25" s="23">
        <f t="array" ref="AE25:AG25">FLEXCOMPBIAXRS($B$4,$B$5,$B$6,$B$15,$B$16,$B$11,$B$12,$B$13,$B$7,$B$8,AC25,AD25,$B$3,$B$14)</f>
        <v>-2.7344635929708261E-2</v>
      </c>
      <c r="AF25" s="23">
        <v>-1903.7865770240862</v>
      </c>
      <c r="AG25" s="23">
        <v>-2165.503088251538</v>
      </c>
      <c r="AI25" s="23">
        <v>220</v>
      </c>
      <c r="AJ25" s="23">
        <f t="shared" si="1"/>
        <v>22.813121812107411</v>
      </c>
      <c r="AK25" s="23">
        <f t="array" ref="AK25:AM25">FLEXCOMPBIAXRS($B$4,$B$5,$B$6,$B$15,$B$16,$B$11,$B$12,$B$13,$B$7,$B$8,AI25,AJ25,$B$3,$B$14)</f>
        <v>-2.7344635929708261E-2</v>
      </c>
      <c r="AL25" s="23">
        <v>-1903.7865770240862</v>
      </c>
      <c r="AM25" s="23">
        <v>-2165.503088251538</v>
      </c>
      <c r="AO25" s="23">
        <v>-223.56995638851942</v>
      </c>
      <c r="AP25" s="23">
        <v>-2200.8592364159763</v>
      </c>
      <c r="AQ25" s="23">
        <v>-3140.3697881827525</v>
      </c>
      <c r="AR25" s="23">
        <f t="shared" si="3"/>
        <v>-3827.5729269755366</v>
      </c>
    </row>
    <row r="26" spans="1:44" x14ac:dyDescent="0.2">
      <c r="A26" s="24"/>
      <c r="B26" s="13"/>
      <c r="C26" s="13"/>
      <c r="D26" s="13"/>
      <c r="E26" s="13"/>
      <c r="F26" s="13"/>
      <c r="G26" s="13"/>
      <c r="H26" s="13"/>
      <c r="I26" s="24"/>
      <c r="J26" s="13"/>
      <c r="K26" s="13"/>
      <c r="L26" s="13"/>
      <c r="M26" s="13"/>
      <c r="N26" s="13"/>
      <c r="O26" s="13"/>
      <c r="P26" s="14"/>
      <c r="Q26" s="22"/>
      <c r="R26" s="22"/>
      <c r="S26" s="22"/>
      <c r="T26" s="23" t="s">
        <v>139</v>
      </c>
      <c r="U26" s="23" t="str">
        <f t="shared" si="2"/>
        <v/>
      </c>
      <c r="AC26" s="23">
        <v>230</v>
      </c>
      <c r="AD26" s="23">
        <f t="shared" si="0"/>
        <v>22.813121812107411</v>
      </c>
      <c r="AE26" s="23">
        <f t="array" ref="AE26:AG26">FLEXCOMPBIAXRS($B$4,$B$5,$B$6,$B$15,$B$16,$B$11,$B$12,$B$13,$B$7,$B$8,AC26,AD26,$B$3,$B$14)</f>
        <v>-2.7344635929701155E-2</v>
      </c>
      <c r="AF26" s="23">
        <v>-2165.5030882515371</v>
      </c>
      <c r="AG26" s="23">
        <v>-1903.786577024086</v>
      </c>
      <c r="AI26" s="23">
        <v>230</v>
      </c>
      <c r="AJ26" s="23">
        <f t="shared" si="1"/>
        <v>22.813121812107411</v>
      </c>
      <c r="AK26" s="23">
        <f t="array" ref="AK26:AM26">FLEXCOMPBIAXRS($B$4,$B$5,$B$6,$B$15,$B$16,$B$11,$B$12,$B$13,$B$7,$B$8,AI26,AJ26,$B$3,$B$14)</f>
        <v>-2.7344635929701155E-2</v>
      </c>
      <c r="AL26" s="23">
        <v>-2165.5030882515371</v>
      </c>
      <c r="AM26" s="23">
        <v>-1903.786577024086</v>
      </c>
      <c r="AO26" s="23">
        <v>-280.90941873340273</v>
      </c>
      <c r="AP26" s="23">
        <v>-2119.5630868984185</v>
      </c>
      <c r="AQ26" s="23">
        <v>-2900.1650611281134</v>
      </c>
      <c r="AR26" s="23">
        <f t="shared" si="3"/>
        <v>-3589.042365504512</v>
      </c>
    </row>
    <row r="27" spans="1:44" x14ac:dyDescent="0.2">
      <c r="A27" s="24"/>
      <c r="B27" s="13"/>
      <c r="C27" s="13"/>
      <c r="D27" s="13"/>
      <c r="E27" s="13"/>
      <c r="F27" s="13"/>
      <c r="G27" s="13"/>
      <c r="H27" s="13"/>
      <c r="I27" s="24"/>
      <c r="J27" s="13"/>
      <c r="K27" s="13"/>
      <c r="L27" s="13"/>
      <c r="M27" s="13"/>
      <c r="N27" s="13"/>
      <c r="O27" s="13"/>
      <c r="P27" s="14"/>
      <c r="Q27" s="22"/>
      <c r="R27" s="22"/>
      <c r="S27" s="22"/>
      <c r="T27" s="23" t="s">
        <v>200</v>
      </c>
      <c r="U27" s="23" t="str">
        <f t="shared" si="2"/>
        <v/>
      </c>
      <c r="AC27" s="23">
        <v>240</v>
      </c>
      <c r="AD27" s="23">
        <f t="shared" si="0"/>
        <v>21.249515657685606</v>
      </c>
      <c r="AE27" s="23">
        <f t="array" ref="AE27:AG27">FLEXCOMPBIAXRS($B$4,$B$5,$B$6,$B$15,$B$16,$B$11,$B$12,$B$13,$B$7,$B$8,AC27,AD27,$B$3,$B$14)</f>
        <v>1.6119982618505446E-2</v>
      </c>
      <c r="AF27" s="23">
        <v>-2323.0008072896421</v>
      </c>
      <c r="AG27" s="23">
        <v>-1613.7509770074355</v>
      </c>
      <c r="AI27" s="23">
        <v>240</v>
      </c>
      <c r="AJ27" s="23">
        <f t="shared" si="1"/>
        <v>21.249515657685606</v>
      </c>
      <c r="AK27" s="23">
        <f t="array" ref="AK27:AM27">FLEXCOMPBIAXRS($B$4,$B$5,$B$6,$B$15,$B$16,$B$11,$B$12,$B$13,$B$7,$B$8,AI27,AJ27,$B$3,$B$14)</f>
        <v>1.6119982618505446E-2</v>
      </c>
      <c r="AL27" s="23">
        <v>-2323.0008072896421</v>
      </c>
      <c r="AM27" s="23">
        <v>-1613.7509770074355</v>
      </c>
      <c r="AO27" s="23">
        <v>-345.20765080126705</v>
      </c>
      <c r="AP27" s="23">
        <v>-1885.3032272426356</v>
      </c>
      <c r="AQ27" s="23">
        <v>-2342.2815983435439</v>
      </c>
      <c r="AR27" s="23">
        <f t="shared" si="3"/>
        <v>-3006.7295571105828</v>
      </c>
    </row>
    <row r="28" spans="1:44" x14ac:dyDescent="0.2">
      <c r="A28" s="24"/>
      <c r="B28" s="13"/>
      <c r="C28" s="13"/>
      <c r="D28" s="13"/>
      <c r="E28" s="13"/>
      <c r="F28" s="13"/>
      <c r="G28" s="13"/>
      <c r="H28" s="13"/>
      <c r="I28" s="24"/>
      <c r="J28" s="13"/>
      <c r="K28" s="13"/>
      <c r="L28" s="13"/>
      <c r="M28" s="13"/>
      <c r="N28" s="13"/>
      <c r="O28" s="13"/>
      <c r="P28" s="14"/>
      <c r="Q28" s="22"/>
      <c r="R28" s="22"/>
      <c r="S28" s="22"/>
      <c r="T28" s="23" t="s">
        <v>137</v>
      </c>
      <c r="U28" s="23" t="str">
        <f t="shared" si="2"/>
        <v/>
      </c>
      <c r="AC28" s="23">
        <v>250</v>
      </c>
      <c r="AD28" s="23">
        <f t="shared" si="0"/>
        <v>18.389026543938463</v>
      </c>
      <c r="AE28" s="23">
        <f t="array" ref="AE28:AG28">FLEXCOMPBIAXRS($B$4,$B$5,$B$6,$B$15,$B$16,$B$11,$B$12,$B$13,$B$7,$B$8,AC28,AD28,$B$3,$B$14)</f>
        <v>2.7482648139873334E-2</v>
      </c>
      <c r="AF28" s="23">
        <v>-2488.404410150546</v>
      </c>
      <c r="AG28" s="23">
        <v>-1256.4231382161881</v>
      </c>
      <c r="AI28" s="23">
        <v>250</v>
      </c>
      <c r="AJ28" s="23">
        <f t="shared" si="1"/>
        <v>18.389026543938463</v>
      </c>
      <c r="AK28" s="23">
        <f t="array" ref="AK28:AM28">FLEXCOMPBIAXRS($B$4,$B$5,$B$6,$B$15,$B$16,$B$11,$B$12,$B$13,$B$7,$B$8,AI28,AJ28,$B$3,$B$14)</f>
        <v>2.7482648139873334E-2</v>
      </c>
      <c r="AL28" s="23">
        <v>-2488.404410150546</v>
      </c>
      <c r="AM28" s="23">
        <v>-1256.4231382161881</v>
      </c>
      <c r="AO28" s="23">
        <v>-394.06706462365651</v>
      </c>
      <c r="AP28" s="23">
        <v>-1295.3766164788999</v>
      </c>
      <c r="AQ28" s="23">
        <v>-1507.5817801981702</v>
      </c>
      <c r="AR28" s="23">
        <f t="shared" si="3"/>
        <v>-1986.2918855575217</v>
      </c>
    </row>
    <row r="29" spans="1:44" x14ac:dyDescent="0.2">
      <c r="A29" s="24"/>
      <c r="B29" s="13"/>
      <c r="C29" s="13"/>
      <c r="D29" s="13"/>
      <c r="E29" s="13"/>
      <c r="F29" s="13"/>
      <c r="G29" s="13"/>
      <c r="H29" s="13"/>
      <c r="I29" s="24"/>
      <c r="J29" s="13"/>
      <c r="K29" s="13"/>
      <c r="L29" s="13"/>
      <c r="M29" s="13"/>
      <c r="N29" s="13"/>
      <c r="O29" s="13"/>
      <c r="P29" s="14"/>
      <c r="Q29" s="22"/>
      <c r="R29" s="22"/>
      <c r="S29" s="22"/>
      <c r="T29" s="23" t="s">
        <v>195</v>
      </c>
      <c r="U29" s="23" t="str">
        <f t="shared" si="2"/>
        <v/>
      </c>
      <c r="AC29" s="23">
        <v>260</v>
      </c>
      <c r="AD29" s="23">
        <f t="shared" si="0"/>
        <v>13.642473116753315</v>
      </c>
      <c r="AE29" s="23">
        <f t="array" ref="AE29:AG29">FLEXCOMPBIAXRS($B$4,$B$5,$B$6,$B$15,$B$16,$B$11,$B$12,$B$13,$B$7,$B$8,AC29,AD29,$B$3,$B$14)</f>
        <v>1.5604235005916678E-2</v>
      </c>
      <c r="AF29" s="23">
        <v>-2616.6643279891114</v>
      </c>
      <c r="AG29" s="23">
        <v>-692.38770623080427</v>
      </c>
      <c r="AI29" s="23">
        <v>260</v>
      </c>
      <c r="AJ29" s="23">
        <f t="shared" si="1"/>
        <v>13.642473116753315</v>
      </c>
      <c r="AK29" s="23">
        <f t="array" ref="AK29:AM29">FLEXCOMPBIAXRS($B$4,$B$5,$B$6,$B$15,$B$16,$B$11,$B$12,$B$13,$B$7,$B$8,AI29,AJ29,$B$3,$B$14)</f>
        <v>1.5604235005916678E-2</v>
      </c>
      <c r="AL29" s="23">
        <v>-2616.6643279891114</v>
      </c>
      <c r="AM29" s="23">
        <v>-692.38770623080427</v>
      </c>
      <c r="AO29" s="23">
        <v>-394.06706462365651</v>
      </c>
      <c r="AP29" s="23">
        <v>-784.77962795016776</v>
      </c>
      <c r="AQ29" s="23">
        <v>-906.31529797666974</v>
      </c>
      <c r="AR29" s="23">
        <f t="shared" si="3"/>
        <v>-1197.8632204692958</v>
      </c>
    </row>
    <row r="30" spans="1:44" x14ac:dyDescent="0.2">
      <c r="A30" s="24"/>
      <c r="B30" s="13"/>
      <c r="C30" s="13"/>
      <c r="D30" s="13"/>
      <c r="E30" s="13"/>
      <c r="F30" s="13"/>
      <c r="G30" s="13"/>
      <c r="H30" s="13"/>
      <c r="I30" s="24"/>
      <c r="J30" s="13"/>
      <c r="K30" s="13"/>
      <c r="L30" s="13"/>
      <c r="M30" s="13"/>
      <c r="N30" s="13"/>
      <c r="O30" s="13"/>
      <c r="P30" s="14"/>
      <c r="Q30" s="22"/>
      <c r="R30" s="22"/>
      <c r="S30" s="22"/>
      <c r="T30" s="23" t="s">
        <v>197</v>
      </c>
      <c r="U30" s="23" t="str">
        <f t="shared" si="2"/>
        <v/>
      </c>
      <c r="AC30" s="23">
        <v>270</v>
      </c>
      <c r="AD30" s="23">
        <f t="shared" si="0"/>
        <v>7.8543090820312536</v>
      </c>
      <c r="AE30" s="23">
        <f t="array" ref="AE30:AG30">FLEXCOMPBIAXRS($B$4,$B$5,$B$6,$B$15,$B$16,$B$11,$B$12,$B$13,$B$7,$B$8,AC30,AD30,$B$3,$B$14)</f>
        <v>-1.3089322330387176E-2</v>
      </c>
      <c r="AF30" s="23">
        <v>-2683.7497064721447</v>
      </c>
      <c r="AG30" s="23">
        <v>-8.2836342905342873E-13</v>
      </c>
      <c r="AI30" s="23">
        <v>270</v>
      </c>
      <c r="AJ30" s="23">
        <f t="shared" si="1"/>
        <v>7.8543090820312536</v>
      </c>
      <c r="AK30" s="23">
        <f t="array" ref="AK30:AM30">FLEXCOMPBIAXRS($B$4,$B$5,$B$6,$B$15,$B$16,$B$11,$B$12,$B$13,$B$7,$B$8,AI30,AJ30,$B$3,$B$14)</f>
        <v>-1.3089322330387176E-2</v>
      </c>
      <c r="AL30" s="23">
        <v>-2683.7497064721447</v>
      </c>
      <c r="AM30" s="23">
        <v>-8.2836342905342873E-13</v>
      </c>
      <c r="AO30" s="27">
        <v>-394.06706462365651</v>
      </c>
      <c r="AP30" s="27">
        <v>4.8858459444891259E-14</v>
      </c>
      <c r="AQ30" s="27">
        <v>-1.554681034256665E-13</v>
      </c>
      <c r="AR30" s="27">
        <f t="shared" si="3"/>
        <v>-9.115552516833656E-14</v>
      </c>
    </row>
    <row r="31" spans="1:44" x14ac:dyDescent="0.2">
      <c r="A31" s="24"/>
      <c r="B31" s="13"/>
      <c r="C31" s="13"/>
      <c r="D31" s="13"/>
      <c r="E31" s="13"/>
      <c r="F31" s="13"/>
      <c r="G31" s="13"/>
      <c r="H31" s="13"/>
      <c r="I31" s="24"/>
      <c r="J31" s="13"/>
      <c r="K31" s="13"/>
      <c r="L31" s="13"/>
      <c r="M31" s="13"/>
      <c r="N31" s="13"/>
      <c r="O31" s="13"/>
      <c r="P31" s="14"/>
      <c r="Q31" s="22"/>
      <c r="R31" s="22"/>
      <c r="S31" s="22"/>
      <c r="T31" s="23" t="s">
        <v>138</v>
      </c>
      <c r="U31" s="23" t="str">
        <f t="shared" si="2"/>
        <v/>
      </c>
      <c r="AC31" s="23">
        <v>280</v>
      </c>
      <c r="AD31" s="23">
        <f t="shared" si="0"/>
        <v>13.642473116753315</v>
      </c>
      <c r="AE31" s="23">
        <f t="array" ref="AE31:AG31">FLEXCOMPBIAXRS($B$4,$B$5,$B$6,$B$15,$B$16,$B$11,$B$12,$B$13,$B$7,$B$8,AC31,AD31,$B$3,$B$14)</f>
        <v>1.5604235005767464E-2</v>
      </c>
      <c r="AF31" s="23">
        <v>-2616.664327989115</v>
      </c>
      <c r="AG31" s="23">
        <v>692.38770623080291</v>
      </c>
      <c r="AI31" s="23">
        <v>280</v>
      </c>
      <c r="AJ31" s="23">
        <f t="shared" si="1"/>
        <v>13.642473116753315</v>
      </c>
      <c r="AK31" s="23">
        <f t="array" ref="AK31:AM31">FLEXCOMPBIAXRS($B$4,$B$5,$B$6,$B$15,$B$16,$B$11,$B$12,$B$13,$B$7,$B$8,AI31,AJ31,$B$3,$B$14)</f>
        <v>1.5604235005767464E-2</v>
      </c>
      <c r="AL31" s="23">
        <v>-2616.664327989115</v>
      </c>
      <c r="AM31" s="23">
        <v>692.38770623080291</v>
      </c>
    </row>
    <row r="32" spans="1:44" x14ac:dyDescent="0.2">
      <c r="A32" s="24"/>
      <c r="B32" s="13"/>
      <c r="C32" s="13"/>
      <c r="D32" s="13"/>
      <c r="E32" s="13"/>
      <c r="F32" s="13"/>
      <c r="G32" s="13"/>
      <c r="H32" s="13"/>
      <c r="I32" s="24"/>
      <c r="J32" s="13"/>
      <c r="K32" s="13"/>
      <c r="L32" s="13"/>
      <c r="M32" s="13"/>
      <c r="N32" s="13"/>
      <c r="O32" s="13"/>
      <c r="P32" s="14"/>
      <c r="Q32" s="22"/>
      <c r="R32" s="22"/>
      <c r="S32" s="22"/>
      <c r="T32" s="23" t="s">
        <v>190</v>
      </c>
      <c r="U32" s="23" t="str">
        <f t="shared" si="2"/>
        <v/>
      </c>
      <c r="AC32" s="23">
        <v>290</v>
      </c>
      <c r="AD32" s="23">
        <f t="shared" si="0"/>
        <v>18.389026543938463</v>
      </c>
      <c r="AE32" s="23">
        <f t="array" ref="AE32:AG32">FLEXCOMPBIAXRS($B$4,$B$5,$B$6,$B$15,$B$16,$B$11,$B$12,$B$13,$B$7,$B$8,AC32,AD32,$B$3,$B$14)</f>
        <v>2.7482648139780963E-2</v>
      </c>
      <c r="AF32" s="23">
        <v>-2488.4044101505478</v>
      </c>
      <c r="AG32" s="23">
        <v>1256.4231382161877</v>
      </c>
      <c r="AI32" s="23">
        <v>290</v>
      </c>
      <c r="AJ32" s="23">
        <f t="shared" si="1"/>
        <v>18.389026543938463</v>
      </c>
      <c r="AK32" s="23">
        <f t="array" ref="AK32:AM32">FLEXCOMPBIAXRS($B$4,$B$5,$B$6,$B$15,$B$16,$B$11,$B$12,$B$13,$B$7,$B$8,AI32,AJ32,$B$3,$B$14)</f>
        <v>2.7482648139780963E-2</v>
      </c>
      <c r="AL32" s="23">
        <v>-2488.4044101505478</v>
      </c>
      <c r="AM32" s="23">
        <v>1256.4231382161877</v>
      </c>
    </row>
    <row r="33" spans="1:45" x14ac:dyDescent="0.2">
      <c r="A33" s="24"/>
      <c r="B33" s="13"/>
      <c r="C33" s="13"/>
      <c r="D33" s="13"/>
      <c r="E33" s="13"/>
      <c r="F33" s="13"/>
      <c r="G33" s="13"/>
      <c r="H33" s="13"/>
      <c r="I33" s="24"/>
      <c r="J33" s="13"/>
      <c r="K33" s="13"/>
      <c r="L33" s="13"/>
      <c r="M33" s="13"/>
      <c r="N33" s="13"/>
      <c r="O33" s="13"/>
      <c r="P33" s="14"/>
      <c r="Q33" s="22"/>
      <c r="R33" s="22"/>
      <c r="S33" s="22"/>
      <c r="T33" s="23" t="s">
        <v>207</v>
      </c>
      <c r="U33" s="23" t="str">
        <f t="shared" si="2"/>
        <v/>
      </c>
      <c r="AC33" s="23">
        <v>300</v>
      </c>
      <c r="AD33" s="23">
        <f t="shared" si="0"/>
        <v>21.249515657685606</v>
      </c>
      <c r="AE33" s="23">
        <f t="array" ref="AE33:AG33">FLEXCOMPBIAXRS($B$4,$B$5,$B$6,$B$15,$B$16,$B$11,$B$12,$B$13,$B$7,$B$8,AC33,AD33,$B$3,$B$14)</f>
        <v>1.6119982618441497E-2</v>
      </c>
      <c r="AF33" s="23">
        <v>-2323.0008072896435</v>
      </c>
      <c r="AG33" s="23">
        <v>1613.750977007435</v>
      </c>
      <c r="AI33" s="23">
        <v>300</v>
      </c>
      <c r="AJ33" s="23">
        <f t="shared" si="1"/>
        <v>21.249515657685606</v>
      </c>
      <c r="AK33" s="23">
        <f t="array" ref="AK33:AM33">FLEXCOMPBIAXRS($B$4,$B$5,$B$6,$B$15,$B$16,$B$11,$B$12,$B$13,$B$7,$B$8,AI33,AJ33,$B$3,$B$14)</f>
        <v>1.6119982618441497E-2</v>
      </c>
      <c r="AL33" s="23">
        <v>-2323.0008072896435</v>
      </c>
      <c r="AM33" s="23">
        <v>1613.750977007435</v>
      </c>
    </row>
    <row r="34" spans="1:45" x14ac:dyDescent="0.2">
      <c r="A34" s="24"/>
      <c r="B34" s="13"/>
      <c r="C34" s="13"/>
      <c r="D34" s="13"/>
      <c r="E34" s="13"/>
      <c r="F34" s="13"/>
      <c r="G34" s="13"/>
      <c r="H34" s="13"/>
      <c r="I34" s="24"/>
      <c r="J34" s="13"/>
      <c r="K34" s="13"/>
      <c r="L34" s="13"/>
      <c r="M34" s="13"/>
      <c r="N34" s="13"/>
      <c r="O34" s="13"/>
      <c r="P34" s="14"/>
      <c r="Q34" s="22"/>
      <c r="R34" s="22"/>
      <c r="S34" s="22"/>
      <c r="T34" s="23" t="s">
        <v>193</v>
      </c>
      <c r="U34" s="23" t="str">
        <f t="shared" si="2"/>
        <v/>
      </c>
      <c r="AC34" s="23">
        <v>310</v>
      </c>
      <c r="AD34" s="23">
        <f t="shared" si="0"/>
        <v>22.813121812107411</v>
      </c>
      <c r="AE34" s="23">
        <f t="array" ref="AE34:AG34">FLEXCOMPBIAXRS($B$4,$B$5,$B$6,$B$15,$B$16,$B$11,$B$12,$B$13,$B$7,$B$8,AC34,AD34,$B$3,$B$14)</f>
        <v>-2.7344635929715366E-2</v>
      </c>
      <c r="AF34" s="23">
        <v>-2165.503088251538</v>
      </c>
      <c r="AG34" s="23">
        <v>1903.7865770240862</v>
      </c>
      <c r="AI34" s="23">
        <v>310</v>
      </c>
      <c r="AJ34" s="23">
        <f t="shared" si="1"/>
        <v>22.813121812107411</v>
      </c>
      <c r="AK34" s="23">
        <f t="array" ref="AK34:AM34">FLEXCOMPBIAXRS($B$4,$B$5,$B$6,$B$15,$B$16,$B$11,$B$12,$B$13,$B$7,$B$8,AI34,AJ34,$B$3,$B$14)</f>
        <v>-2.7344635929715366E-2</v>
      </c>
      <c r="AL34" s="23">
        <v>-2165.503088251538</v>
      </c>
      <c r="AM34" s="23">
        <v>1903.7865770240862</v>
      </c>
    </row>
    <row r="35" spans="1:45" x14ac:dyDescent="0.2">
      <c r="A35" s="24"/>
      <c r="B35" s="13"/>
      <c r="C35" s="13"/>
      <c r="D35" s="13"/>
      <c r="E35" s="13"/>
      <c r="F35" s="13"/>
      <c r="G35" s="13"/>
      <c r="H35" s="13"/>
      <c r="I35" s="24"/>
      <c r="J35" s="13"/>
      <c r="K35" s="13"/>
      <c r="L35" s="13"/>
      <c r="M35" s="13"/>
      <c r="N35" s="13"/>
      <c r="O35" s="13"/>
      <c r="P35" s="14"/>
      <c r="Q35" s="22"/>
      <c r="R35" s="22"/>
      <c r="S35" s="22"/>
      <c r="T35" s="23" t="s">
        <v>38</v>
      </c>
      <c r="U35" s="23" t="str">
        <f t="shared" si="2"/>
        <v/>
      </c>
      <c r="AC35" s="23">
        <v>320</v>
      </c>
      <c r="AD35" s="23">
        <f t="shared" si="0"/>
        <v>22.813121812107411</v>
      </c>
      <c r="AE35" s="23">
        <f t="array" ref="AE35:AG35">FLEXCOMPBIAXRS($B$4,$B$5,$B$6,$B$15,$B$16,$B$11,$B$12,$B$13,$B$7,$B$8,AC35,AD35,$B$3,$B$14)</f>
        <v>-2.7344635929679839E-2</v>
      </c>
      <c r="AF35" s="23">
        <v>-1903.786577024086</v>
      </c>
      <c r="AG35" s="23">
        <v>2165.5030882515366</v>
      </c>
      <c r="AI35" s="23">
        <v>320</v>
      </c>
      <c r="AJ35" s="23">
        <f t="shared" si="1"/>
        <v>22.813121812107411</v>
      </c>
      <c r="AK35" s="23">
        <f t="array" ref="AK35:AM35">FLEXCOMPBIAXRS($B$4,$B$5,$B$6,$B$15,$B$16,$B$11,$B$12,$B$13,$B$7,$B$8,AI35,AJ35,$B$3,$B$14)</f>
        <v>-2.7344635929679839E-2</v>
      </c>
      <c r="AL35" s="23">
        <v>-1903.786577024086</v>
      </c>
      <c r="AM35" s="23">
        <v>2165.5030882515366</v>
      </c>
    </row>
    <row r="36" spans="1:45" x14ac:dyDescent="0.2">
      <c r="A36" s="24"/>
      <c r="B36" s="13"/>
      <c r="C36" s="13"/>
      <c r="D36" s="13"/>
      <c r="E36" s="13"/>
      <c r="F36" s="13"/>
      <c r="G36" s="13"/>
      <c r="H36" s="13"/>
      <c r="I36" s="24"/>
      <c r="J36" s="13"/>
      <c r="K36" s="13"/>
      <c r="L36" s="13"/>
      <c r="M36" s="13"/>
      <c r="N36" s="13"/>
      <c r="O36" s="13"/>
      <c r="P36" s="14"/>
      <c r="Q36" s="22"/>
      <c r="R36" s="22"/>
      <c r="S36" s="22"/>
      <c r="T36" s="23" t="s">
        <v>193</v>
      </c>
      <c r="U36" s="23" t="str">
        <f t="shared" si="2"/>
        <v/>
      </c>
      <c r="AC36" s="23">
        <v>330</v>
      </c>
      <c r="AD36" s="23">
        <f t="shared" si="0"/>
        <v>21.249515657685606</v>
      </c>
      <c r="AE36" s="23">
        <f t="array" ref="AE36:AG36">FLEXCOMPBIAXRS($B$4,$B$5,$B$6,$B$15,$B$16,$B$11,$B$12,$B$13,$B$7,$B$8,AC36,AD36,$B$3,$B$14)</f>
        <v>1.6119982618519657E-2</v>
      </c>
      <c r="AF36" s="23">
        <v>-1613.7509770074353</v>
      </c>
      <c r="AG36" s="23">
        <v>2323.0008072896417</v>
      </c>
      <c r="AI36" s="23">
        <v>330</v>
      </c>
      <c r="AJ36" s="23">
        <f t="shared" si="1"/>
        <v>21.249515657685606</v>
      </c>
      <c r="AK36" s="23">
        <f t="array" ref="AK36:AM36">FLEXCOMPBIAXRS($B$4,$B$5,$B$6,$B$15,$B$16,$B$11,$B$12,$B$13,$B$7,$B$8,AI36,AJ36,$B$3,$B$14)</f>
        <v>1.6119982618519657E-2</v>
      </c>
      <c r="AL36" s="23">
        <v>-1613.7509770074353</v>
      </c>
      <c r="AM36" s="23">
        <v>2323.0008072896417</v>
      </c>
    </row>
    <row r="37" spans="1:45" x14ac:dyDescent="0.2">
      <c r="A37" s="24"/>
      <c r="B37" s="13"/>
      <c r="C37" s="13"/>
      <c r="D37" s="13"/>
      <c r="E37" s="13"/>
      <c r="F37" s="13"/>
      <c r="G37" s="13"/>
      <c r="H37" s="13"/>
      <c r="I37" s="24"/>
      <c r="J37" s="13"/>
      <c r="K37" s="13"/>
      <c r="L37" s="13"/>
      <c r="M37" s="13"/>
      <c r="N37" s="13"/>
      <c r="O37" s="13"/>
      <c r="P37" s="14"/>
      <c r="Q37" s="22"/>
      <c r="R37" s="22"/>
      <c r="S37" s="22"/>
      <c r="T37" s="23" t="s">
        <v>194</v>
      </c>
      <c r="U37" s="23" t="str">
        <f t="shared" si="2"/>
        <v/>
      </c>
      <c r="AC37" s="23">
        <v>340</v>
      </c>
      <c r="AD37" s="23">
        <f t="shared" si="0"/>
        <v>18.389026543938463</v>
      </c>
      <c r="AE37" s="23">
        <f t="array" ref="AE37:AG37">FLEXCOMPBIAXRS($B$4,$B$5,$B$6,$B$15,$B$16,$B$11,$B$12,$B$13,$B$7,$B$8,AC37,AD37,$B$3,$B$14)</f>
        <v>2.7482648139880439E-2</v>
      </c>
      <c r="AF37" s="23">
        <v>-1256.4231382161881</v>
      </c>
      <c r="AG37" s="23">
        <v>2488.4044101505456</v>
      </c>
      <c r="AI37" s="23">
        <v>340</v>
      </c>
      <c r="AJ37" s="23">
        <f t="shared" si="1"/>
        <v>18.389026543938463</v>
      </c>
      <c r="AK37" s="23">
        <f t="array" ref="AK37:AM37">FLEXCOMPBIAXRS($B$4,$B$5,$B$6,$B$15,$B$16,$B$11,$B$12,$B$13,$B$7,$B$8,AI37,AJ37,$B$3,$B$14)</f>
        <v>2.7482648139880439E-2</v>
      </c>
      <c r="AL37" s="23">
        <v>-1256.4231382161881</v>
      </c>
      <c r="AM37" s="23">
        <v>2488.4044101505456</v>
      </c>
    </row>
    <row r="38" spans="1:45" x14ac:dyDescent="0.2">
      <c r="A38" s="24"/>
      <c r="B38" s="13"/>
      <c r="C38" s="13"/>
      <c r="D38" s="13"/>
      <c r="E38" s="13"/>
      <c r="F38" s="13"/>
      <c r="G38" s="13"/>
      <c r="H38" s="13"/>
      <c r="I38" s="24"/>
      <c r="J38" s="13"/>
      <c r="K38" s="13"/>
      <c r="L38" s="13"/>
      <c r="M38" s="13"/>
      <c r="N38" s="13"/>
      <c r="O38" s="13"/>
      <c r="P38" s="14"/>
      <c r="Q38" s="22"/>
      <c r="R38" s="22"/>
      <c r="S38" s="22"/>
      <c r="T38" s="23" t="s">
        <v>193</v>
      </c>
      <c r="U38" s="23" t="str">
        <f t="shared" si="2"/>
        <v/>
      </c>
      <c r="AC38" s="23">
        <v>350</v>
      </c>
      <c r="AD38" s="23">
        <f t="shared" si="0"/>
        <v>13.642473116753315</v>
      </c>
      <c r="AE38" s="23">
        <f t="array" ref="AE38:AG38">FLEXCOMPBIAXRS($B$4,$B$5,$B$6,$B$15,$B$16,$B$11,$B$12,$B$13,$B$7,$B$8,AC38,AD38,$B$3,$B$14)</f>
        <v>1.5604235005909572E-2</v>
      </c>
      <c r="AF38" s="23">
        <v>-692.38770623080438</v>
      </c>
      <c r="AG38" s="23">
        <v>2616.6643279891114</v>
      </c>
      <c r="AI38" s="23">
        <v>350</v>
      </c>
      <c r="AJ38" s="23">
        <f t="shared" si="1"/>
        <v>13.642473116753315</v>
      </c>
      <c r="AK38" s="23">
        <f t="array" ref="AK38:AM38">FLEXCOMPBIAXRS($B$4,$B$5,$B$6,$B$15,$B$16,$B$11,$B$12,$B$13,$B$7,$B$8,AI38,AJ38,$B$3,$B$14)</f>
        <v>1.5604235005909572E-2</v>
      </c>
      <c r="AL38" s="23">
        <v>-692.38770623080438</v>
      </c>
      <c r="AM38" s="23">
        <v>2616.6643279891114</v>
      </c>
    </row>
    <row r="39" spans="1:45" x14ac:dyDescent="0.2">
      <c r="A39" s="24"/>
      <c r="B39" s="13"/>
      <c r="C39" s="13"/>
      <c r="D39" s="13"/>
      <c r="E39" s="13"/>
      <c r="F39" s="13"/>
      <c r="G39" s="13"/>
      <c r="H39" s="13"/>
      <c r="I39" s="24"/>
      <c r="J39" s="13"/>
      <c r="K39" s="13"/>
      <c r="L39" s="13"/>
      <c r="M39" s="13"/>
      <c r="N39" s="13"/>
      <c r="O39" s="13"/>
      <c r="P39" s="14"/>
      <c r="Q39" s="22"/>
      <c r="R39" s="22"/>
      <c r="S39" s="22"/>
      <c r="T39" s="23" t="s">
        <v>192</v>
      </c>
      <c r="U39" s="23" t="str">
        <f t="shared" si="2"/>
        <v/>
      </c>
      <c r="AC39" s="27">
        <v>360</v>
      </c>
      <c r="AD39" s="27">
        <f>AD3</f>
        <v>7.85430908203125</v>
      </c>
      <c r="AE39" s="27">
        <f t="shared" ref="AE39:AG39" si="5">AE3</f>
        <v>-1.3089322330458231E-2</v>
      </c>
      <c r="AF39" s="27">
        <f t="shared" si="5"/>
        <v>5.6843418860808015E-14</v>
      </c>
      <c r="AG39" s="27">
        <f t="shared" si="5"/>
        <v>2683.7497064721456</v>
      </c>
      <c r="AI39" s="27">
        <v>360</v>
      </c>
      <c r="AJ39" s="27">
        <f t="shared" si="1"/>
        <v>7.8543090820312536</v>
      </c>
      <c r="AK39" s="27">
        <f t="shared" ref="AK39:AM39" si="6">AK3</f>
        <v>-1.3089322330458231E-2</v>
      </c>
      <c r="AL39" s="27">
        <f t="shared" si="6"/>
        <v>5.6843418860808015E-14</v>
      </c>
      <c r="AM39" s="27">
        <f t="shared" si="6"/>
        <v>2683.7497064721456</v>
      </c>
    </row>
    <row r="40" spans="1:45" x14ac:dyDescent="0.2">
      <c r="A40" s="24"/>
      <c r="B40" s="13"/>
      <c r="C40" s="13"/>
      <c r="D40" s="13"/>
      <c r="E40" s="13"/>
      <c r="F40" s="13"/>
      <c r="G40" s="13"/>
      <c r="H40" s="13"/>
      <c r="I40" s="24"/>
      <c r="J40" s="13"/>
      <c r="K40" s="13"/>
      <c r="L40" s="13"/>
      <c r="M40" s="13"/>
      <c r="N40" s="13"/>
      <c r="O40" s="13"/>
      <c r="P40" s="14"/>
      <c r="Q40" s="22"/>
      <c r="R40" s="22"/>
      <c r="S40" s="22"/>
      <c r="T40" s="23" t="s">
        <v>23</v>
      </c>
      <c r="U40" s="23" t="str">
        <f t="shared" si="2"/>
        <v/>
      </c>
    </row>
    <row r="41" spans="1:45" x14ac:dyDescent="0.2">
      <c r="A41" s="34"/>
      <c r="B41" s="35"/>
      <c r="C41" s="35"/>
      <c r="D41" s="35"/>
      <c r="E41" s="35"/>
      <c r="F41" s="35"/>
      <c r="G41" s="35"/>
      <c r="H41" s="35"/>
      <c r="I41" s="34"/>
      <c r="J41" s="35"/>
      <c r="K41" s="35"/>
      <c r="L41" s="35"/>
      <c r="M41" s="35"/>
      <c r="N41" s="35"/>
      <c r="O41" s="35"/>
      <c r="P41" s="37"/>
      <c r="Q41" s="22"/>
      <c r="R41" s="22"/>
      <c r="S41" s="22"/>
      <c r="T41" s="23" t="s">
        <v>194</v>
      </c>
      <c r="U41" s="23" t="str">
        <f t="shared" si="2"/>
        <v/>
      </c>
      <c r="AC41" s="7">
        <f>XCOMPRESSRS($B$4,$B$5,$B$6,$B$15,$B$16,$B$11,$B$12,$B$13,$B$7,$B$8,B9,$AD$1,$B$3,$B$14)</f>
        <v>22.646901785542248</v>
      </c>
      <c r="AD41" s="7">
        <f t="array" ref="AD41:AF41">FLEXCOMPBIAXRS($B$4,$B$5,$B$6,$B$15,$B$16,$B$11,$B$12,$B$13,$B$7,$B$8,$B$9,AC41,$B$3,$B$14)</f>
        <v>2.9184558060521226E-2</v>
      </c>
      <c r="AE41" s="7">
        <v>1862.3517929413717</v>
      </c>
      <c r="AF41" s="7">
        <v>2188.339001092726</v>
      </c>
      <c r="AG41" s="7">
        <f t="shared" ref="AG41:AG42" si="7">AF41*COS($X$6)+AE41*SIN($X$6)</f>
        <v>2872.0229022380563</v>
      </c>
      <c r="AI41" s="7">
        <f>XCOMPRESSRS($B$4,$B$5,$B$6,$B$15,$B$16,$B$11,$B$12,$B$13,$B$7,$B$8,B9,$AJ$1,$B$3,$B$14)</f>
        <v>22.646901785542248</v>
      </c>
      <c r="AJ41" s="7">
        <f t="array" ref="AJ41:AL41">FLEXCOMPBIAXRS($B$4,$B$5,$B$6,$B$15,$B$16,$B$11,$B$12,$B$13,$B$7,$B$8,B9,AI41,$B$3,$B$14)</f>
        <v>2.9184558060521226E-2</v>
      </c>
      <c r="AK41" s="7">
        <v>1862.3517929413717</v>
      </c>
      <c r="AL41" s="7">
        <v>2188.339001092726</v>
      </c>
      <c r="AM41" s="7">
        <f t="shared" ref="AM41:AM42" si="8">AL41*COS($X$6)+AK41*SIN($X$6)</f>
        <v>2872.0229022380563</v>
      </c>
    </row>
    <row r="42" spans="1:45" x14ac:dyDescent="0.2">
      <c r="A42" s="34"/>
      <c r="B42" s="35"/>
      <c r="C42" s="35"/>
      <c r="D42" s="35"/>
      <c r="E42" s="35"/>
      <c r="F42" s="35"/>
      <c r="G42" s="35"/>
      <c r="H42" s="35"/>
      <c r="I42" s="34"/>
      <c r="J42" s="35"/>
      <c r="K42" s="35"/>
      <c r="L42" s="35"/>
      <c r="M42" s="35"/>
      <c r="N42" s="35"/>
      <c r="O42" s="35"/>
      <c r="P42" s="37"/>
      <c r="Q42" s="40"/>
      <c r="R42" s="40"/>
      <c r="S42" s="40"/>
      <c r="T42" s="27" t="s">
        <v>190</v>
      </c>
      <c r="U42" s="27" t="str">
        <f t="shared" si="2"/>
        <v/>
      </c>
      <c r="AC42" s="7">
        <f>XCOMPRESSRS($B$4,$B$5,$B$6,$B$15,$B$16,$B$11,$B$12,$B$13,$B$7,$B$8,B9+180,$AD$1,$B$3,$B$14)</f>
        <v>22.646901785542248</v>
      </c>
      <c r="AD42" s="7">
        <f t="array" ref="AD42:AF42">FLEXCOMPBIAXRS($B$4,$B$5,$B$6,$B$15,$B$16,$B$11,$B$12,$B$13,$B$7,$B$8,$B$9+180,AC42,$B$3,$B$14)</f>
        <v>2.9184558060492805E-2</v>
      </c>
      <c r="AE42" s="7">
        <v>-1862.3517929413706</v>
      </c>
      <c r="AF42" s="7">
        <v>-2188.339001092726</v>
      </c>
      <c r="AG42" s="7">
        <f t="shared" si="7"/>
        <v>-2872.0229022380554</v>
      </c>
      <c r="AI42" s="7">
        <f>XCOMPRESSRS($B$4,$B$5,$B$6,$B$15,$B$16,$B$11,$B$12,$B$13,$B$7,$B$8,B9+180,$AJ$1,$B$3,$B$14)</f>
        <v>22.646901785542248</v>
      </c>
      <c r="AJ42" s="7">
        <f t="array" ref="AJ42:AL42">FLEXCOMPBIAXRS($B$4,$B$5,$B$6,$B$15,$B$16,$B$11,$B$12,$B$13,$B$7,$B$8,B9+180,AI42,$B$3,$B$14)</f>
        <v>2.9184558060492805E-2</v>
      </c>
      <c r="AK42" s="7">
        <v>-1862.3517929413706</v>
      </c>
      <c r="AL42" s="7">
        <v>-2188.339001092726</v>
      </c>
      <c r="AM42" s="7">
        <f t="shared" si="8"/>
        <v>-2872.0229022380554</v>
      </c>
    </row>
    <row r="43" spans="1:45" x14ac:dyDescent="0.2">
      <c r="A43" s="41">
        <v>1</v>
      </c>
      <c r="B43" s="41">
        <v>2</v>
      </c>
      <c r="C43" s="41">
        <v>3</v>
      </c>
      <c r="D43" s="41">
        <v>4</v>
      </c>
      <c r="E43" s="41">
        <v>5</v>
      </c>
      <c r="F43" s="41">
        <v>6</v>
      </c>
      <c r="G43" s="41">
        <v>7</v>
      </c>
      <c r="H43" s="41">
        <v>8</v>
      </c>
      <c r="I43" s="41">
        <v>9</v>
      </c>
      <c r="J43" s="41">
        <v>10</v>
      </c>
      <c r="K43" s="41">
        <v>11</v>
      </c>
      <c r="L43" s="41">
        <v>12</v>
      </c>
      <c r="M43" s="41">
        <v>13</v>
      </c>
      <c r="N43" s="41">
        <v>14</v>
      </c>
      <c r="O43" s="41">
        <v>15</v>
      </c>
      <c r="P43" s="41">
        <v>16</v>
      </c>
      <c r="Q43" s="41"/>
      <c r="R43" s="41"/>
      <c r="S43" s="41"/>
      <c r="T43" s="41"/>
      <c r="U43" s="41"/>
      <c r="V43" s="41">
        <v>22</v>
      </c>
      <c r="W43" s="41">
        <v>23</v>
      </c>
      <c r="X43" s="41">
        <v>24</v>
      </c>
      <c r="Y43" s="41">
        <v>25</v>
      </c>
      <c r="Z43" s="41">
        <v>26</v>
      </c>
      <c r="AA43" s="41">
        <v>27</v>
      </c>
      <c r="AB43" s="41">
        <v>28</v>
      </c>
      <c r="AC43" s="41">
        <v>29</v>
      </c>
      <c r="AD43" s="41">
        <v>30</v>
      </c>
      <c r="AE43" s="41">
        <v>31</v>
      </c>
      <c r="AF43" s="41">
        <v>32</v>
      </c>
      <c r="AG43" s="41">
        <v>33</v>
      </c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</row>
    <row r="44" spans="1:45" x14ac:dyDescent="0.2">
      <c r="A44" s="3" t="s">
        <v>84</v>
      </c>
      <c r="B44" s="3" t="s">
        <v>85</v>
      </c>
      <c r="C44" s="3" t="s">
        <v>86</v>
      </c>
      <c r="D44" s="3" t="s">
        <v>87</v>
      </c>
      <c r="E44" s="3" t="s">
        <v>88</v>
      </c>
      <c r="F44" s="3" t="s">
        <v>89</v>
      </c>
      <c r="H44" s="3" t="s">
        <v>90</v>
      </c>
      <c r="I44" s="3" t="s">
        <v>91</v>
      </c>
      <c r="J44" s="3" t="s">
        <v>92</v>
      </c>
      <c r="K44" s="3" t="s">
        <v>93</v>
      </c>
      <c r="U44" s="41"/>
      <c r="W44" s="3" t="s">
        <v>94</v>
      </c>
      <c r="X44" s="3" t="s">
        <v>95</v>
      </c>
      <c r="Y44" s="3" t="s">
        <v>96</v>
      </c>
      <c r="Z44" s="3" t="s">
        <v>97</v>
      </c>
      <c r="AA44" s="3" t="s">
        <v>98</v>
      </c>
      <c r="AB44" s="3" t="s">
        <v>99</v>
      </c>
      <c r="AC44" s="3" t="s">
        <v>100</v>
      </c>
      <c r="AD44" s="3" t="s">
        <v>101</v>
      </c>
      <c r="AE44" s="3" t="s">
        <v>102</v>
      </c>
      <c r="AF44" s="3" t="s">
        <v>103</v>
      </c>
      <c r="AG44" s="3" t="s">
        <v>104</v>
      </c>
      <c r="AH44" s="3" t="s">
        <v>105</v>
      </c>
      <c r="AI44" s="3" t="s">
        <v>106</v>
      </c>
    </row>
    <row r="45" spans="1:45" x14ac:dyDescent="0.2">
      <c r="A45" s="42">
        <f t="array" ref="A45:B49">CONCREC(B15,B16,B14)</f>
        <v>0</v>
      </c>
      <c r="B45" s="42">
        <v>0</v>
      </c>
      <c r="C45" s="42">
        <f ca="1">A45-$X$15</f>
        <v>-30.000000000000004</v>
      </c>
      <c r="D45" s="42">
        <f ca="1">B45-$X$16</f>
        <v>-30.000000000000004</v>
      </c>
      <c r="E45" s="42">
        <f ca="1">C45*COS($X$6)+D45*SIN($X$6)</f>
        <v>-42.157227615102457</v>
      </c>
      <c r="F45" s="42">
        <f ca="1">-C45*SIN($X$6)+D45*COS($X$6)</f>
        <v>-4.7715992925269397</v>
      </c>
      <c r="H45" s="18">
        <f t="array" aca="1" ref="H45:I51" ca="1">VERTCOMPRES(E45:F49,X21)</f>
        <v>35.600579078120099</v>
      </c>
      <c r="I45" s="18">
        <f ca="1"/>
        <v>9.9949223840643029</v>
      </c>
      <c r="J45" s="18">
        <f t="shared" ref="J45:J51" ca="1" si="9">H45*COS($X$6)-I45*SIN($X$6)</f>
        <v>21.61711600008087</v>
      </c>
      <c r="K45" s="18">
        <f t="shared" ref="K45:K51" ca="1" si="10">H45*SIN($X$6)+I45*COS($X$6)</f>
        <v>30</v>
      </c>
      <c r="U45" s="41"/>
      <c r="W45" s="42">
        <f t="array" ref="W45:Y72">REBARECS(B15,B16,B11,B12,B13,B7,B8,B14)</f>
        <v>7</v>
      </c>
      <c r="X45" s="42">
        <v>7</v>
      </c>
      <c r="Y45" s="42">
        <v>3.1415926535897931</v>
      </c>
      <c r="Z45" s="18">
        <f t="shared" ref="Z45:Z72" ca="1" si="11">W45-$X$15</f>
        <v>-23.000000000000004</v>
      </c>
      <c r="AA45" s="18">
        <f t="shared" ref="AA45:AA72" ca="1" si="12">X45-$X$16</f>
        <v>-23.000000000000004</v>
      </c>
      <c r="AB45" s="18">
        <f t="shared" ref="AB45:AB72" ca="1" si="13">Z45*COS($X$6)+AA45*SIN($X$6)</f>
        <v>-32.320541171578547</v>
      </c>
      <c r="AC45" s="18">
        <f t="shared" ref="AC45:AC72" ca="1" si="14">-Z45*SIN($X$6)+AA45*COS($X$6)</f>
        <v>-3.6582261242706551</v>
      </c>
      <c r="AD45" s="18">
        <f t="shared" ref="AD45:AD72" ca="1" si="15">$X$18-AC45</f>
        <v>45.815453739373105</v>
      </c>
      <c r="AE45" s="18">
        <f t="shared" ref="AE45:AE72" ca="1" si="16">($B$10-AD45)*$AA$4</f>
        <v>0.63249481640561955</v>
      </c>
      <c r="AF45" s="18">
        <f t="shared" ref="AF45:AF72" ca="1" si="17">IF(ABS(AE45)&lt;$X$7,AE45*$B$6/1000,SIGN(AE45)*$B$5)-IF(AD45&lt;$X$20,$X$8)</f>
        <v>1.3282391144518011</v>
      </c>
      <c r="AG45" s="18">
        <f ca="1">Y45*AF45</f>
        <v>4.1727862441723911</v>
      </c>
      <c r="AH45" s="18">
        <f ca="1">AG45*AC45</f>
        <v>-15.26499564942867</v>
      </c>
      <c r="AI45" s="18">
        <f ca="1">AG45*AB45</f>
        <v>-134.86670960497037</v>
      </c>
    </row>
    <row r="46" spans="1:45" x14ac:dyDescent="0.2">
      <c r="A46" s="43">
        <v>60</v>
      </c>
      <c r="B46" s="43">
        <v>0</v>
      </c>
      <c r="C46" s="43">
        <f ca="1">A46-$X$15</f>
        <v>29.999999999999996</v>
      </c>
      <c r="D46" s="43">
        <f ca="1">B46-$X$16</f>
        <v>-30.000000000000004</v>
      </c>
      <c r="E46" s="43">
        <f ca="1">C46*COS($X$6)+D46*SIN($X$6)</f>
        <v>4.7715992925269362</v>
      </c>
      <c r="F46" s="43">
        <f ca="1">-C46*SIN($X$6)+D46*COS($X$6)</f>
        <v>-42.15722761510245</v>
      </c>
      <c r="H46" s="23">
        <f ca="1"/>
        <v>-4.7715992925269433</v>
      </c>
      <c r="I46" s="23">
        <f ca="1"/>
        <v>42.15722761510245</v>
      </c>
      <c r="J46" s="23">
        <f t="shared" ca="1" si="9"/>
        <v>-30.000000000000007</v>
      </c>
      <c r="K46" s="23">
        <f t="shared" ca="1" si="10"/>
        <v>30</v>
      </c>
      <c r="U46" s="41"/>
      <c r="W46" s="43">
        <v>53</v>
      </c>
      <c r="X46" s="43">
        <v>7</v>
      </c>
      <c r="Y46" s="43">
        <v>3.1415926535897931</v>
      </c>
      <c r="Z46" s="23">
        <f t="shared" ca="1" si="11"/>
        <v>22.999999999999996</v>
      </c>
      <c r="AA46" s="23">
        <f t="shared" ca="1" si="12"/>
        <v>-23.000000000000004</v>
      </c>
      <c r="AB46" s="23">
        <f t="shared" ca="1" si="13"/>
        <v>3.6582261242706515</v>
      </c>
      <c r="AC46" s="23">
        <f t="shared" ca="1" si="14"/>
        <v>-32.32054117157854</v>
      </c>
      <c r="AD46" s="23">
        <f t="shared" ca="1" si="15"/>
        <v>74.477768786680997</v>
      </c>
      <c r="AE46" s="23">
        <f t="shared" ca="1" si="16"/>
        <v>2.9049968291065271</v>
      </c>
      <c r="AF46" s="23">
        <f t="shared" ca="1" si="17"/>
        <v>4.1999998092651367</v>
      </c>
      <c r="AG46" s="23">
        <f t="shared" ref="AG46:AG72" ca="1" si="18">Y46*AF46</f>
        <v>13.194688545865885</v>
      </c>
      <c r="AH46" s="23">
        <f t="shared" ref="AH46:AH72" ca="1" si="19">AG46*AC46</f>
        <v>-426.45947439281412</v>
      </c>
      <c r="AI46" s="23">
        <f t="shared" ref="AI46:AI72" ca="1" si="20">AG46*AB46</f>
        <v>48.269154340101316</v>
      </c>
    </row>
    <row r="47" spans="1:45" x14ac:dyDescent="0.2">
      <c r="A47" s="43">
        <v>60</v>
      </c>
      <c r="B47" s="43">
        <v>60</v>
      </c>
      <c r="C47" s="43">
        <f ca="1">A47-$X$15</f>
        <v>29.999999999999996</v>
      </c>
      <c r="D47" s="43">
        <f ca="1">B47-$X$16</f>
        <v>29.999999999999996</v>
      </c>
      <c r="E47" s="43">
        <f ca="1">C47*COS($X$6)+D47*SIN($X$6)</f>
        <v>42.157227615102443</v>
      </c>
      <c r="F47" s="43">
        <f ca="1">-C47*SIN($X$6)+D47*COS($X$6)</f>
        <v>4.7715992925269397</v>
      </c>
      <c r="H47" s="23">
        <f ca="1"/>
        <v>-30.393547860121298</v>
      </c>
      <c r="I47" s="23">
        <f ca="1"/>
        <v>9.9949223840643029</v>
      </c>
      <c r="J47" s="23">
        <f t="shared" ca="1" si="9"/>
        <v>-30.000000000000007</v>
      </c>
      <c r="K47" s="23">
        <f t="shared" ca="1" si="10"/>
        <v>-11.120531686432681</v>
      </c>
      <c r="U47" s="41"/>
      <c r="W47" s="43">
        <v>7</v>
      </c>
      <c r="X47" s="43">
        <v>53</v>
      </c>
      <c r="Y47" s="43">
        <v>3.1415926535897931</v>
      </c>
      <c r="Z47" s="23">
        <f t="shared" ca="1" si="11"/>
        <v>-23.000000000000004</v>
      </c>
      <c r="AA47" s="23">
        <f t="shared" ca="1" si="12"/>
        <v>22.999999999999996</v>
      </c>
      <c r="AB47" s="23">
        <f t="shared" ca="1" si="13"/>
        <v>-3.6582261242706586</v>
      </c>
      <c r="AC47" s="23">
        <f t="shared" ca="1" si="14"/>
        <v>32.32054117157854</v>
      </c>
      <c r="AD47" s="23">
        <f t="shared" ca="1" si="15"/>
        <v>9.8366864435239094</v>
      </c>
      <c r="AE47" s="23">
        <f t="shared" ca="1" si="16"/>
        <v>-2.2200947584198922</v>
      </c>
      <c r="AF47" s="23">
        <f t="shared" ca="1" si="17"/>
        <v>-4.0214998148381706</v>
      </c>
      <c r="AG47" s="23">
        <f t="shared" ca="1" si="18"/>
        <v>-12.63391427470831</v>
      </c>
      <c r="AH47" s="23">
        <f t="shared" ca="1" si="19"/>
        <v>-408.33494647390376</v>
      </c>
      <c r="AI47" s="23">
        <f t="shared" ca="1" si="20"/>
        <v>46.217715251533932</v>
      </c>
      <c r="AK47" s="2">
        <f>X47-X46</f>
        <v>46</v>
      </c>
    </row>
    <row r="48" spans="1:45" x14ac:dyDescent="0.2">
      <c r="A48" s="43">
        <v>0</v>
      </c>
      <c r="B48" s="43">
        <v>60</v>
      </c>
      <c r="C48" s="43">
        <f ca="1">A48-$X$15</f>
        <v>-30.000000000000004</v>
      </c>
      <c r="D48" s="43">
        <f ca="1">B48-$X$16</f>
        <v>29.999999999999996</v>
      </c>
      <c r="E48" s="43">
        <f ca="1">C48*COS($X$6)+D48*SIN($X$6)</f>
        <v>-4.7715992925269433</v>
      </c>
      <c r="F48" s="43">
        <f ca="1">-C48*SIN($X$6)+D48*COS($X$6)</f>
        <v>42.15722761510245</v>
      </c>
      <c r="H48" s="23">
        <f ca="1"/>
        <v>35.600579078120099</v>
      </c>
      <c r="I48" s="23">
        <f ca="1"/>
        <v>9.9949223840643029</v>
      </c>
      <c r="J48" s="23">
        <f t="shared" ca="1" si="9"/>
        <v>21.61711600008087</v>
      </c>
      <c r="K48" s="23">
        <f t="shared" ca="1" si="10"/>
        <v>30</v>
      </c>
      <c r="U48" s="41"/>
      <c r="W48" s="43">
        <v>53</v>
      </c>
      <c r="X48" s="43">
        <v>53</v>
      </c>
      <c r="Y48" s="43">
        <v>3.1415926535897931</v>
      </c>
      <c r="Z48" s="23">
        <f t="shared" ca="1" si="11"/>
        <v>22.999999999999996</v>
      </c>
      <c r="AA48" s="23">
        <f t="shared" ca="1" si="12"/>
        <v>22.999999999999996</v>
      </c>
      <c r="AB48" s="23">
        <f t="shared" ca="1" si="13"/>
        <v>32.32054117157854</v>
      </c>
      <c r="AC48" s="23">
        <f t="shared" ca="1" si="14"/>
        <v>3.6582261242706551</v>
      </c>
      <c r="AD48" s="23">
        <f t="shared" ca="1" si="15"/>
        <v>38.499001490831795</v>
      </c>
      <c r="AE48" s="23">
        <f t="shared" ca="1" si="16"/>
        <v>5.2407254281014823E-2</v>
      </c>
      <c r="AF48" s="23">
        <f t="shared" ca="1" si="17"/>
        <v>0.11005523399013113</v>
      </c>
      <c r="AG48" s="23">
        <f t="shared" ca="1" si="18"/>
        <v>0.34574871459250167</v>
      </c>
      <c r="AH48" s="23">
        <f t="shared" ca="1" si="19"/>
        <v>1.2648269801552883</v>
      </c>
      <c r="AI48" s="23">
        <f t="shared" ca="1" si="20"/>
        <v>11.174785565007308</v>
      </c>
    </row>
    <row r="49" spans="1:37" x14ac:dyDescent="0.2">
      <c r="A49" s="44">
        <v>0</v>
      </c>
      <c r="B49" s="44">
        <v>0</v>
      </c>
      <c r="C49" s="44">
        <f ca="1">A49-$X$15</f>
        <v>-30.000000000000004</v>
      </c>
      <c r="D49" s="44">
        <f ca="1">B49-$X$16</f>
        <v>-30.000000000000004</v>
      </c>
      <c r="E49" s="44">
        <f ca="1">C49*COS($X$6)+D49*SIN($X$6)</f>
        <v>-42.157227615102457</v>
      </c>
      <c r="F49" s="44">
        <f ca="1">-C49*SIN($X$6)+D49*COS($X$6)</f>
        <v>-4.7715992925269397</v>
      </c>
      <c r="H49" s="23" t="e">
        <f ca="1"/>
        <v>#N/A</v>
      </c>
      <c r="I49" s="23" t="e">
        <f ca="1"/>
        <v>#N/A</v>
      </c>
      <c r="J49" s="23" t="e">
        <f t="shared" ca="1" si="9"/>
        <v>#N/A</v>
      </c>
      <c r="K49" s="23" t="e">
        <f t="shared" ca="1" si="10"/>
        <v>#N/A</v>
      </c>
      <c r="U49" s="41"/>
      <c r="W49" s="43">
        <v>22.4</v>
      </c>
      <c r="X49" s="43">
        <v>6.8</v>
      </c>
      <c r="Y49" s="43">
        <v>2.0106192982974678</v>
      </c>
      <c r="Z49" s="23">
        <f t="shared" ca="1" si="11"/>
        <v>-7.600000000000005</v>
      </c>
      <c r="AA49" s="23">
        <f t="shared" ca="1" si="12"/>
        <v>-23.200000000000003</v>
      </c>
      <c r="AB49" s="23">
        <f t="shared" ca="1" si="13"/>
        <v>-20.400094359695593</v>
      </c>
      <c r="AC49" s="23">
        <f t="shared" ca="1" si="14"/>
        <v>-13.410300150090467</v>
      </c>
      <c r="AD49" s="23">
        <f t="shared" ca="1" si="15"/>
        <v>55.567527765192921</v>
      </c>
      <c r="AE49" s="23">
        <f t="shared" ca="1" si="16"/>
        <v>1.4056915318525562</v>
      </c>
      <c r="AF49" s="23">
        <f t="shared" ca="1" si="17"/>
        <v>2.9519522168903682</v>
      </c>
      <c r="AG49" s="23">
        <f t="shared" ca="1" si="18"/>
        <v>5.9352520949317666</v>
      </c>
      <c r="AH49" s="23">
        <f t="shared" ca="1" si="19"/>
        <v>-79.593512059488233</v>
      </c>
      <c r="AI49" s="23">
        <f t="shared" ca="1" si="20"/>
        <v>-121.07970278518899</v>
      </c>
    </row>
    <row r="50" spans="1:37" x14ac:dyDescent="0.2">
      <c r="H50" s="23" t="e">
        <f ca="1"/>
        <v>#N/A</v>
      </c>
      <c r="I50" s="23" t="e">
        <f ca="1"/>
        <v>#N/A</v>
      </c>
      <c r="J50" s="23" t="e">
        <f t="shared" ca="1" si="9"/>
        <v>#N/A</v>
      </c>
      <c r="K50" s="23" t="e">
        <f t="shared" ca="1" si="10"/>
        <v>#N/A</v>
      </c>
      <c r="U50" s="41"/>
      <c r="W50" s="43">
        <v>22.4</v>
      </c>
      <c r="X50" s="43">
        <v>53.2</v>
      </c>
      <c r="Y50" s="43">
        <v>2.0106192982974678</v>
      </c>
      <c r="Z50" s="23">
        <f t="shared" ca="1" si="11"/>
        <v>-7.600000000000005</v>
      </c>
      <c r="AA50" s="23">
        <f t="shared" ca="1" si="12"/>
        <v>23.2</v>
      </c>
      <c r="AB50" s="23">
        <f t="shared" ca="1" si="13"/>
        <v>8.5114582097628038</v>
      </c>
      <c r="AC50" s="23">
        <f t="shared" ca="1" si="14"/>
        <v>22.881325991809597</v>
      </c>
      <c r="AD50" s="23">
        <f t="shared" ca="1" si="15"/>
        <v>19.275901623292853</v>
      </c>
      <c r="AE50" s="23">
        <f t="shared" ca="1" si="16"/>
        <v>-1.4717031697105694</v>
      </c>
      <c r="AF50" s="23">
        <f t="shared" ca="1" si="17"/>
        <v>-2.9120766619652301</v>
      </c>
      <c r="AG50" s="23">
        <f t="shared" ca="1" si="18"/>
        <v>-5.855077534668963</v>
      </c>
      <c r="AH50" s="23">
        <f t="shared" ca="1" si="19"/>
        <v>-133.97193777808138</v>
      </c>
      <c r="AI50" s="23">
        <f t="shared" ca="1" si="20"/>
        <v>-49.835247751255899</v>
      </c>
    </row>
    <row r="51" spans="1:37" x14ac:dyDescent="0.2">
      <c r="H51" s="27" t="e">
        <f ca="1"/>
        <v>#N/A</v>
      </c>
      <c r="I51" s="27" t="e">
        <f ca="1"/>
        <v>#N/A</v>
      </c>
      <c r="J51" s="27" t="e">
        <f t="shared" ca="1" si="9"/>
        <v>#N/A</v>
      </c>
      <c r="K51" s="27" t="e">
        <f t="shared" ca="1" si="10"/>
        <v>#N/A</v>
      </c>
      <c r="U51" s="41"/>
      <c r="W51" s="43">
        <v>37.6</v>
      </c>
      <c r="X51" s="43">
        <v>6.8</v>
      </c>
      <c r="Y51" s="43">
        <v>2.0106192982974678</v>
      </c>
      <c r="Z51" s="23">
        <f t="shared" ca="1" si="11"/>
        <v>7.5999999999999979</v>
      </c>
      <c r="AA51" s="23">
        <f t="shared" ca="1" si="12"/>
        <v>-23.200000000000003</v>
      </c>
      <c r="AB51" s="23">
        <f t="shared" ca="1" si="13"/>
        <v>-8.5114582097628109</v>
      </c>
      <c r="AC51" s="23">
        <f t="shared" ca="1" si="14"/>
        <v>-22.881325991809597</v>
      </c>
      <c r="AD51" s="23">
        <f t="shared" ca="1" si="15"/>
        <v>65.038553606912046</v>
      </c>
      <c r="AE51" s="23">
        <f t="shared" ca="1" si="16"/>
        <v>2.1566052403972038</v>
      </c>
      <c r="AF51" s="23">
        <f t="shared" ca="1" si="17"/>
        <v>4.1999998092651367</v>
      </c>
      <c r="AG51" s="23">
        <f t="shared" ca="1" si="18"/>
        <v>8.444600669354168</v>
      </c>
      <c r="AH51" s="23">
        <f t="shared" ca="1" si="19"/>
        <v>-193.22366078614624</v>
      </c>
      <c r="AI51" s="23">
        <f t="shared" ca="1" si="20"/>
        <v>-71.875865695343066</v>
      </c>
    </row>
    <row r="52" spans="1:37" x14ac:dyDescent="0.2">
      <c r="U52" s="41"/>
      <c r="W52" s="43">
        <v>37.6</v>
      </c>
      <c r="X52" s="43">
        <v>53.2</v>
      </c>
      <c r="Y52" s="43">
        <v>2.0106192982974678</v>
      </c>
      <c r="Z52" s="23">
        <f t="shared" ca="1" si="11"/>
        <v>7.5999999999999979</v>
      </c>
      <c r="AA52" s="23">
        <f t="shared" ca="1" si="12"/>
        <v>23.2</v>
      </c>
      <c r="AB52" s="23">
        <f t="shared" ca="1" si="13"/>
        <v>20.400094359695586</v>
      </c>
      <c r="AC52" s="23">
        <f t="shared" ca="1" si="14"/>
        <v>13.410300150090467</v>
      </c>
      <c r="AD52" s="23">
        <f t="shared" ca="1" si="15"/>
        <v>28.746927465011982</v>
      </c>
      <c r="AE52" s="23">
        <f t="shared" ca="1" si="16"/>
        <v>-0.72078946116592169</v>
      </c>
      <c r="AF52" s="23">
        <f t="shared" ca="1" si="17"/>
        <v>-1.3351578740214698</v>
      </c>
      <c r="AG52" s="23">
        <f t="shared" ca="1" si="18"/>
        <v>-2.6844941877813864</v>
      </c>
      <c r="AH52" s="23">
        <f t="shared" ca="1" si="19"/>
        <v>-35.999872809321715</v>
      </c>
      <c r="AI52" s="23">
        <f t="shared" ca="1" si="20"/>
        <v>-54.763934738794646</v>
      </c>
    </row>
    <row r="53" spans="1:37" x14ac:dyDescent="0.2">
      <c r="U53" s="41"/>
      <c r="W53" s="43">
        <v>6.8</v>
      </c>
      <c r="X53" s="43">
        <v>22.4</v>
      </c>
      <c r="Y53" s="43">
        <v>2.0106192982974678</v>
      </c>
      <c r="Z53" s="23">
        <f t="shared" ca="1" si="11"/>
        <v>-23.200000000000003</v>
      </c>
      <c r="AA53" s="23">
        <f t="shared" ca="1" si="12"/>
        <v>-7.600000000000005</v>
      </c>
      <c r="AB53" s="23">
        <f t="shared" ca="1" si="13"/>
        <v>-22.8813259918096</v>
      </c>
      <c r="AC53" s="23">
        <f t="shared" ca="1" si="14"/>
        <v>8.5114582097628055</v>
      </c>
      <c r="AD53" s="23">
        <f t="shared" ca="1" si="15"/>
        <v>33.645769405339642</v>
      </c>
      <c r="AE53" s="23">
        <f t="shared" ca="1" si="16"/>
        <v>-0.33238300652596897</v>
      </c>
      <c r="AF53" s="23">
        <f t="shared" ca="1" si="17"/>
        <v>-0.69800431370453486</v>
      </c>
      <c r="AG53" s="23">
        <f t="shared" ca="1" si="18"/>
        <v>-1.4034209434292175</v>
      </c>
      <c r="AH53" s="23">
        <f t="shared" ca="1" si="19"/>
        <v>-11.945158710703675</v>
      </c>
      <c r="AI53" s="23">
        <f t="shared" ca="1" si="20"/>
        <v>32.112132110336908</v>
      </c>
      <c r="AK53" s="2">
        <f>X53-X46</f>
        <v>15.399999999999999</v>
      </c>
    </row>
    <row r="54" spans="1:37" x14ac:dyDescent="0.2">
      <c r="U54" s="41"/>
      <c r="W54" s="43">
        <v>53.2</v>
      </c>
      <c r="X54" s="43">
        <v>22.4</v>
      </c>
      <c r="Y54" s="43">
        <v>2.0106192982974678</v>
      </c>
      <c r="Z54" s="23">
        <f t="shared" ca="1" si="11"/>
        <v>23.2</v>
      </c>
      <c r="AA54" s="23">
        <f t="shared" ca="1" si="12"/>
        <v>-7.600000000000005</v>
      </c>
      <c r="AB54" s="23">
        <f t="shared" ca="1" si="13"/>
        <v>13.410300150090464</v>
      </c>
      <c r="AC54" s="23">
        <f t="shared" ca="1" si="14"/>
        <v>-20.40009435969559</v>
      </c>
      <c r="AD54" s="23">
        <f t="shared" ca="1" si="15"/>
        <v>62.557321974798043</v>
      </c>
      <c r="AE54" s="23">
        <f t="shared" ca="1" si="16"/>
        <v>1.9598798932419035</v>
      </c>
      <c r="AF54" s="23">
        <f t="shared" ca="1" si="17"/>
        <v>4.1157477758079972</v>
      </c>
      <c r="AG54" s="23">
        <f t="shared" ca="1" si="18"/>
        <v>8.2752019049644385</v>
      </c>
      <c r="AH54" s="23">
        <f t="shared" ca="1" si="19"/>
        <v>-168.81489970680724</v>
      </c>
      <c r="AI54" s="23">
        <f t="shared" ca="1" si="20"/>
        <v>110.97294134817351</v>
      </c>
      <c r="AK54" s="2">
        <f>X55-X53</f>
        <v>15.200000000000003</v>
      </c>
    </row>
    <row r="55" spans="1:37" x14ac:dyDescent="0.2">
      <c r="U55" s="41"/>
      <c r="W55" s="43">
        <v>6.8</v>
      </c>
      <c r="X55" s="43">
        <v>37.6</v>
      </c>
      <c r="Y55" s="43">
        <v>2.0106192982974678</v>
      </c>
      <c r="Z55" s="23">
        <f t="shared" ca="1" si="11"/>
        <v>-23.200000000000003</v>
      </c>
      <c r="AA55" s="23">
        <f t="shared" ca="1" si="12"/>
        <v>7.5999999999999979</v>
      </c>
      <c r="AB55" s="23">
        <f t="shared" ca="1" si="13"/>
        <v>-13.410300150090471</v>
      </c>
      <c r="AC55" s="23">
        <f t="shared" ca="1" si="14"/>
        <v>20.400094359695586</v>
      </c>
      <c r="AD55" s="23">
        <f t="shared" ca="1" si="15"/>
        <v>21.757133255406863</v>
      </c>
      <c r="AE55" s="23">
        <f t="shared" ca="1" si="16"/>
        <v>-1.2749778225552686</v>
      </c>
      <c r="AF55" s="23">
        <f t="shared" ca="1" si="17"/>
        <v>-2.4989534329390986</v>
      </c>
      <c r="AG55" s="23">
        <f t="shared" ca="1" si="18"/>
        <v>-5.0244439978140587</v>
      </c>
      <c r="AH55" s="23">
        <f t="shared" ca="1" si="19"/>
        <v>-102.49913166041293</v>
      </c>
      <c r="AI55" s="23">
        <f t="shared" ca="1" si="20"/>
        <v>67.379302098007031</v>
      </c>
      <c r="AK55" s="2">
        <f>X52-X55</f>
        <v>15.600000000000001</v>
      </c>
    </row>
    <row r="56" spans="1:37" x14ac:dyDescent="0.2">
      <c r="U56" s="41"/>
      <c r="W56" s="43">
        <v>53.2</v>
      </c>
      <c r="X56" s="43">
        <v>37.6</v>
      </c>
      <c r="Y56" s="43">
        <v>2.0106192982974678</v>
      </c>
      <c r="Z56" s="23">
        <f t="shared" ca="1" si="11"/>
        <v>23.2</v>
      </c>
      <c r="AA56" s="23">
        <f t="shared" ca="1" si="12"/>
        <v>7.5999999999999979</v>
      </c>
      <c r="AB56" s="23">
        <f t="shared" ca="1" si="13"/>
        <v>22.881325991809593</v>
      </c>
      <c r="AC56" s="23">
        <f t="shared" ca="1" si="14"/>
        <v>-8.5114582097628091</v>
      </c>
      <c r="AD56" s="23">
        <f t="shared" ca="1" si="15"/>
        <v>50.668685824865257</v>
      </c>
      <c r="AE56" s="23">
        <f t="shared" ca="1" si="16"/>
        <v>1.0172850772126034</v>
      </c>
      <c r="AF56" s="23">
        <f t="shared" ca="1" si="17"/>
        <v>2.136298662146467</v>
      </c>
      <c r="AG56" s="23">
        <f t="shared" ca="1" si="18"/>
        <v>4.2952833170387485</v>
      </c>
      <c r="AH56" s="23">
        <f t="shared" ca="1" si="19"/>
        <v>-36.55912445206669</v>
      </c>
      <c r="AI56" s="23">
        <f t="shared" ca="1" si="20"/>
        <v>98.281777804344841</v>
      </c>
    </row>
    <row r="57" spans="1:37" x14ac:dyDescent="0.2">
      <c r="U57" s="41"/>
      <c r="W57" s="43" t="e">
        <v>#N/A</v>
      </c>
      <c r="X57" s="43" t="e">
        <v>#N/A</v>
      </c>
      <c r="Y57" s="43" t="e">
        <v>#N/A</v>
      </c>
      <c r="Z57" s="23" t="e">
        <f t="shared" ca="1" si="11"/>
        <v>#N/A</v>
      </c>
      <c r="AA57" s="23" t="e">
        <f t="shared" ca="1" si="12"/>
        <v>#N/A</v>
      </c>
      <c r="AB57" s="23" t="e">
        <f t="shared" ca="1" si="13"/>
        <v>#N/A</v>
      </c>
      <c r="AC57" s="23" t="e">
        <f t="shared" ca="1" si="14"/>
        <v>#N/A</v>
      </c>
      <c r="AD57" s="23" t="e">
        <f t="shared" ca="1" si="15"/>
        <v>#N/A</v>
      </c>
      <c r="AE57" s="23" t="e">
        <f t="shared" ca="1" si="16"/>
        <v>#N/A</v>
      </c>
      <c r="AF57" s="23" t="e">
        <f t="shared" ca="1" si="17"/>
        <v>#N/A</v>
      </c>
      <c r="AG57" s="23" t="e">
        <f t="shared" ca="1" si="18"/>
        <v>#N/A</v>
      </c>
      <c r="AH57" s="23" t="e">
        <f t="shared" ca="1" si="19"/>
        <v>#N/A</v>
      </c>
      <c r="AI57" s="23" t="e">
        <f t="shared" ca="1" si="20"/>
        <v>#N/A</v>
      </c>
    </row>
    <row r="58" spans="1:37" x14ac:dyDescent="0.2">
      <c r="U58" s="41"/>
      <c r="W58" s="43" t="e">
        <v>#N/A</v>
      </c>
      <c r="X58" s="43" t="e">
        <v>#N/A</v>
      </c>
      <c r="Y58" s="43" t="e">
        <v>#N/A</v>
      </c>
      <c r="Z58" s="23" t="e">
        <f t="shared" ca="1" si="11"/>
        <v>#N/A</v>
      </c>
      <c r="AA58" s="23" t="e">
        <f t="shared" ca="1" si="12"/>
        <v>#N/A</v>
      </c>
      <c r="AB58" s="23" t="e">
        <f t="shared" ca="1" si="13"/>
        <v>#N/A</v>
      </c>
      <c r="AC58" s="23" t="e">
        <f t="shared" ca="1" si="14"/>
        <v>#N/A</v>
      </c>
      <c r="AD58" s="23" t="e">
        <f t="shared" ca="1" si="15"/>
        <v>#N/A</v>
      </c>
      <c r="AE58" s="23" t="e">
        <f t="shared" ca="1" si="16"/>
        <v>#N/A</v>
      </c>
      <c r="AF58" s="23" t="e">
        <f t="shared" ca="1" si="17"/>
        <v>#N/A</v>
      </c>
      <c r="AG58" s="23" t="e">
        <f t="shared" ca="1" si="18"/>
        <v>#N/A</v>
      </c>
      <c r="AH58" s="23" t="e">
        <f t="shared" ca="1" si="19"/>
        <v>#N/A</v>
      </c>
      <c r="AI58" s="23" t="e">
        <f t="shared" ca="1" si="20"/>
        <v>#N/A</v>
      </c>
    </row>
    <row r="59" spans="1:37" x14ac:dyDescent="0.2">
      <c r="U59" s="41"/>
      <c r="W59" s="43" t="e">
        <v>#N/A</v>
      </c>
      <c r="X59" s="43" t="e">
        <v>#N/A</v>
      </c>
      <c r="Y59" s="43" t="e">
        <v>#N/A</v>
      </c>
      <c r="Z59" s="23" t="e">
        <f t="shared" ca="1" si="11"/>
        <v>#N/A</v>
      </c>
      <c r="AA59" s="23" t="e">
        <f t="shared" ca="1" si="12"/>
        <v>#N/A</v>
      </c>
      <c r="AB59" s="23" t="e">
        <f t="shared" ca="1" si="13"/>
        <v>#N/A</v>
      </c>
      <c r="AC59" s="23" t="e">
        <f t="shared" ca="1" si="14"/>
        <v>#N/A</v>
      </c>
      <c r="AD59" s="23" t="e">
        <f t="shared" ca="1" si="15"/>
        <v>#N/A</v>
      </c>
      <c r="AE59" s="23" t="e">
        <f t="shared" ca="1" si="16"/>
        <v>#N/A</v>
      </c>
      <c r="AF59" s="23" t="e">
        <f t="shared" ca="1" si="17"/>
        <v>#N/A</v>
      </c>
      <c r="AG59" s="23" t="e">
        <f t="shared" ca="1" si="18"/>
        <v>#N/A</v>
      </c>
      <c r="AH59" s="23" t="e">
        <f t="shared" ca="1" si="19"/>
        <v>#N/A</v>
      </c>
      <c r="AI59" s="23" t="e">
        <f t="shared" ca="1" si="20"/>
        <v>#N/A</v>
      </c>
    </row>
    <row r="60" spans="1:37" x14ac:dyDescent="0.2">
      <c r="U60" s="41"/>
      <c r="W60" s="43" t="e">
        <v>#N/A</v>
      </c>
      <c r="X60" s="43" t="e">
        <v>#N/A</v>
      </c>
      <c r="Y60" s="43" t="e">
        <v>#N/A</v>
      </c>
      <c r="Z60" s="23" t="e">
        <f t="shared" ca="1" si="11"/>
        <v>#N/A</v>
      </c>
      <c r="AA60" s="23" t="e">
        <f t="shared" ca="1" si="12"/>
        <v>#N/A</v>
      </c>
      <c r="AB60" s="23" t="e">
        <f t="shared" ca="1" si="13"/>
        <v>#N/A</v>
      </c>
      <c r="AC60" s="23" t="e">
        <f t="shared" ca="1" si="14"/>
        <v>#N/A</v>
      </c>
      <c r="AD60" s="23" t="e">
        <f t="shared" ca="1" si="15"/>
        <v>#N/A</v>
      </c>
      <c r="AE60" s="23" t="e">
        <f t="shared" ca="1" si="16"/>
        <v>#N/A</v>
      </c>
      <c r="AF60" s="23" t="e">
        <f t="shared" ca="1" si="17"/>
        <v>#N/A</v>
      </c>
      <c r="AG60" s="23" t="e">
        <f t="shared" ca="1" si="18"/>
        <v>#N/A</v>
      </c>
      <c r="AH60" s="23" t="e">
        <f t="shared" ca="1" si="19"/>
        <v>#N/A</v>
      </c>
      <c r="AI60" s="23" t="e">
        <f t="shared" ca="1" si="20"/>
        <v>#N/A</v>
      </c>
    </row>
    <row r="61" spans="1:37" x14ac:dyDescent="0.2">
      <c r="U61" s="41"/>
      <c r="W61" s="43" t="e">
        <v>#N/A</v>
      </c>
      <c r="X61" s="43" t="e">
        <v>#N/A</v>
      </c>
      <c r="Y61" s="43" t="e">
        <v>#N/A</v>
      </c>
      <c r="Z61" s="23" t="e">
        <f t="shared" ca="1" si="11"/>
        <v>#N/A</v>
      </c>
      <c r="AA61" s="23" t="e">
        <f t="shared" ca="1" si="12"/>
        <v>#N/A</v>
      </c>
      <c r="AB61" s="23" t="e">
        <f t="shared" ca="1" si="13"/>
        <v>#N/A</v>
      </c>
      <c r="AC61" s="23" t="e">
        <f t="shared" ca="1" si="14"/>
        <v>#N/A</v>
      </c>
      <c r="AD61" s="23" t="e">
        <f t="shared" ca="1" si="15"/>
        <v>#N/A</v>
      </c>
      <c r="AE61" s="23" t="e">
        <f t="shared" ca="1" si="16"/>
        <v>#N/A</v>
      </c>
      <c r="AF61" s="23" t="e">
        <f t="shared" ca="1" si="17"/>
        <v>#N/A</v>
      </c>
      <c r="AG61" s="23" t="e">
        <f t="shared" ca="1" si="18"/>
        <v>#N/A</v>
      </c>
      <c r="AH61" s="23" t="e">
        <f t="shared" ca="1" si="19"/>
        <v>#N/A</v>
      </c>
      <c r="AI61" s="23" t="e">
        <f t="shared" ca="1" si="20"/>
        <v>#N/A</v>
      </c>
    </row>
    <row r="62" spans="1:37" x14ac:dyDescent="0.2">
      <c r="U62" s="41"/>
      <c r="W62" s="43" t="e">
        <v>#N/A</v>
      </c>
      <c r="X62" s="43" t="e">
        <v>#N/A</v>
      </c>
      <c r="Y62" s="43" t="e">
        <v>#N/A</v>
      </c>
      <c r="Z62" s="23" t="e">
        <f t="shared" ca="1" si="11"/>
        <v>#N/A</v>
      </c>
      <c r="AA62" s="23" t="e">
        <f t="shared" ca="1" si="12"/>
        <v>#N/A</v>
      </c>
      <c r="AB62" s="23" t="e">
        <f t="shared" ca="1" si="13"/>
        <v>#N/A</v>
      </c>
      <c r="AC62" s="23" t="e">
        <f t="shared" ca="1" si="14"/>
        <v>#N/A</v>
      </c>
      <c r="AD62" s="23" t="e">
        <f t="shared" ca="1" si="15"/>
        <v>#N/A</v>
      </c>
      <c r="AE62" s="23" t="e">
        <f t="shared" ca="1" si="16"/>
        <v>#N/A</v>
      </c>
      <c r="AF62" s="23" t="e">
        <f t="shared" ca="1" si="17"/>
        <v>#N/A</v>
      </c>
      <c r="AG62" s="23" t="e">
        <f t="shared" ca="1" si="18"/>
        <v>#N/A</v>
      </c>
      <c r="AH62" s="23" t="e">
        <f t="shared" ca="1" si="19"/>
        <v>#N/A</v>
      </c>
      <c r="AI62" s="23" t="e">
        <f t="shared" ca="1" si="20"/>
        <v>#N/A</v>
      </c>
    </row>
    <row r="63" spans="1:37" x14ac:dyDescent="0.2">
      <c r="U63" s="41"/>
      <c r="W63" s="43" t="e">
        <v>#N/A</v>
      </c>
      <c r="X63" s="43" t="e">
        <v>#N/A</v>
      </c>
      <c r="Y63" s="43" t="e">
        <v>#N/A</v>
      </c>
      <c r="Z63" s="23" t="e">
        <f t="shared" ca="1" si="11"/>
        <v>#N/A</v>
      </c>
      <c r="AA63" s="23" t="e">
        <f t="shared" ca="1" si="12"/>
        <v>#N/A</v>
      </c>
      <c r="AB63" s="23" t="e">
        <f t="shared" ca="1" si="13"/>
        <v>#N/A</v>
      </c>
      <c r="AC63" s="23" t="e">
        <f t="shared" ca="1" si="14"/>
        <v>#N/A</v>
      </c>
      <c r="AD63" s="23" t="e">
        <f t="shared" ca="1" si="15"/>
        <v>#N/A</v>
      </c>
      <c r="AE63" s="23" t="e">
        <f t="shared" ca="1" si="16"/>
        <v>#N/A</v>
      </c>
      <c r="AF63" s="23" t="e">
        <f t="shared" ca="1" si="17"/>
        <v>#N/A</v>
      </c>
      <c r="AG63" s="23" t="e">
        <f t="shared" ca="1" si="18"/>
        <v>#N/A</v>
      </c>
      <c r="AH63" s="23" t="e">
        <f t="shared" ca="1" si="19"/>
        <v>#N/A</v>
      </c>
      <c r="AI63" s="23" t="e">
        <f t="shared" ca="1" si="20"/>
        <v>#N/A</v>
      </c>
    </row>
    <row r="64" spans="1:37" x14ac:dyDescent="0.2">
      <c r="U64" s="41"/>
      <c r="W64" s="43" t="e">
        <v>#N/A</v>
      </c>
      <c r="X64" s="43" t="e">
        <v>#N/A</v>
      </c>
      <c r="Y64" s="43" t="e">
        <v>#N/A</v>
      </c>
      <c r="Z64" s="23" t="e">
        <f t="shared" ca="1" si="11"/>
        <v>#N/A</v>
      </c>
      <c r="AA64" s="23" t="e">
        <f t="shared" ca="1" si="12"/>
        <v>#N/A</v>
      </c>
      <c r="AB64" s="23" t="e">
        <f t="shared" ca="1" si="13"/>
        <v>#N/A</v>
      </c>
      <c r="AC64" s="23" t="e">
        <f t="shared" ca="1" si="14"/>
        <v>#N/A</v>
      </c>
      <c r="AD64" s="23" t="e">
        <f t="shared" ca="1" si="15"/>
        <v>#N/A</v>
      </c>
      <c r="AE64" s="23" t="e">
        <f t="shared" ca="1" si="16"/>
        <v>#N/A</v>
      </c>
      <c r="AF64" s="23" t="e">
        <f t="shared" ca="1" si="17"/>
        <v>#N/A</v>
      </c>
      <c r="AG64" s="23" t="e">
        <f t="shared" ca="1" si="18"/>
        <v>#N/A</v>
      </c>
      <c r="AH64" s="23" t="e">
        <f t="shared" ca="1" si="19"/>
        <v>#N/A</v>
      </c>
      <c r="AI64" s="23" t="e">
        <f t="shared" ca="1" si="20"/>
        <v>#N/A</v>
      </c>
    </row>
    <row r="65" spans="21:35" x14ac:dyDescent="0.2">
      <c r="U65" s="41"/>
      <c r="W65" s="43" t="e">
        <v>#N/A</v>
      </c>
      <c r="X65" s="43" t="e">
        <v>#N/A</v>
      </c>
      <c r="Y65" s="43" t="e">
        <v>#N/A</v>
      </c>
      <c r="Z65" s="23" t="e">
        <f t="shared" ca="1" si="11"/>
        <v>#N/A</v>
      </c>
      <c r="AA65" s="23" t="e">
        <f t="shared" ca="1" si="12"/>
        <v>#N/A</v>
      </c>
      <c r="AB65" s="23" t="e">
        <f t="shared" ca="1" si="13"/>
        <v>#N/A</v>
      </c>
      <c r="AC65" s="23" t="e">
        <f t="shared" ca="1" si="14"/>
        <v>#N/A</v>
      </c>
      <c r="AD65" s="23" t="e">
        <f t="shared" ca="1" si="15"/>
        <v>#N/A</v>
      </c>
      <c r="AE65" s="23" t="e">
        <f t="shared" ca="1" si="16"/>
        <v>#N/A</v>
      </c>
      <c r="AF65" s="23" t="e">
        <f t="shared" ca="1" si="17"/>
        <v>#N/A</v>
      </c>
      <c r="AG65" s="23" t="e">
        <f t="shared" ca="1" si="18"/>
        <v>#N/A</v>
      </c>
      <c r="AH65" s="23" t="e">
        <f t="shared" ca="1" si="19"/>
        <v>#N/A</v>
      </c>
      <c r="AI65" s="23" t="e">
        <f t="shared" ca="1" si="20"/>
        <v>#N/A</v>
      </c>
    </row>
    <row r="66" spans="21:35" x14ac:dyDescent="0.2">
      <c r="U66" s="41"/>
      <c r="W66" s="43" t="e">
        <v>#N/A</v>
      </c>
      <c r="X66" s="43" t="e">
        <v>#N/A</v>
      </c>
      <c r="Y66" s="43" t="e">
        <v>#N/A</v>
      </c>
      <c r="Z66" s="23" t="e">
        <f t="shared" ca="1" si="11"/>
        <v>#N/A</v>
      </c>
      <c r="AA66" s="23" t="e">
        <f t="shared" ca="1" si="12"/>
        <v>#N/A</v>
      </c>
      <c r="AB66" s="23" t="e">
        <f t="shared" ca="1" si="13"/>
        <v>#N/A</v>
      </c>
      <c r="AC66" s="23" t="e">
        <f t="shared" ca="1" si="14"/>
        <v>#N/A</v>
      </c>
      <c r="AD66" s="23" t="e">
        <f t="shared" ca="1" si="15"/>
        <v>#N/A</v>
      </c>
      <c r="AE66" s="23" t="e">
        <f t="shared" ca="1" si="16"/>
        <v>#N/A</v>
      </c>
      <c r="AF66" s="23" t="e">
        <f t="shared" ca="1" si="17"/>
        <v>#N/A</v>
      </c>
      <c r="AG66" s="23" t="e">
        <f t="shared" ca="1" si="18"/>
        <v>#N/A</v>
      </c>
      <c r="AH66" s="23" t="e">
        <f t="shared" ca="1" si="19"/>
        <v>#N/A</v>
      </c>
      <c r="AI66" s="23" t="e">
        <f t="shared" ca="1" si="20"/>
        <v>#N/A</v>
      </c>
    </row>
    <row r="67" spans="21:35" x14ac:dyDescent="0.2">
      <c r="U67" s="41"/>
      <c r="W67" s="43" t="e">
        <v>#N/A</v>
      </c>
      <c r="X67" s="43" t="e">
        <v>#N/A</v>
      </c>
      <c r="Y67" s="43" t="e">
        <v>#N/A</v>
      </c>
      <c r="Z67" s="23" t="e">
        <f t="shared" ca="1" si="11"/>
        <v>#N/A</v>
      </c>
      <c r="AA67" s="23" t="e">
        <f t="shared" ca="1" si="12"/>
        <v>#N/A</v>
      </c>
      <c r="AB67" s="23" t="e">
        <f t="shared" ca="1" si="13"/>
        <v>#N/A</v>
      </c>
      <c r="AC67" s="23" t="e">
        <f t="shared" ca="1" si="14"/>
        <v>#N/A</v>
      </c>
      <c r="AD67" s="23" t="e">
        <f t="shared" ca="1" si="15"/>
        <v>#N/A</v>
      </c>
      <c r="AE67" s="23" t="e">
        <f t="shared" ca="1" si="16"/>
        <v>#N/A</v>
      </c>
      <c r="AF67" s="23" t="e">
        <f t="shared" ca="1" si="17"/>
        <v>#N/A</v>
      </c>
      <c r="AG67" s="23" t="e">
        <f t="shared" ca="1" si="18"/>
        <v>#N/A</v>
      </c>
      <c r="AH67" s="23" t="e">
        <f t="shared" ca="1" si="19"/>
        <v>#N/A</v>
      </c>
      <c r="AI67" s="23" t="e">
        <f t="shared" ca="1" si="20"/>
        <v>#N/A</v>
      </c>
    </row>
    <row r="68" spans="21:35" x14ac:dyDescent="0.2">
      <c r="U68" s="41"/>
      <c r="W68" s="43" t="e">
        <v>#N/A</v>
      </c>
      <c r="X68" s="43" t="e">
        <v>#N/A</v>
      </c>
      <c r="Y68" s="43" t="e">
        <v>#N/A</v>
      </c>
      <c r="Z68" s="23" t="e">
        <f t="shared" ca="1" si="11"/>
        <v>#N/A</v>
      </c>
      <c r="AA68" s="23" t="e">
        <f t="shared" ca="1" si="12"/>
        <v>#N/A</v>
      </c>
      <c r="AB68" s="23" t="e">
        <f t="shared" ca="1" si="13"/>
        <v>#N/A</v>
      </c>
      <c r="AC68" s="23" t="e">
        <f t="shared" ca="1" si="14"/>
        <v>#N/A</v>
      </c>
      <c r="AD68" s="23" t="e">
        <f t="shared" ca="1" si="15"/>
        <v>#N/A</v>
      </c>
      <c r="AE68" s="23" t="e">
        <f t="shared" ca="1" si="16"/>
        <v>#N/A</v>
      </c>
      <c r="AF68" s="23" t="e">
        <f t="shared" ca="1" si="17"/>
        <v>#N/A</v>
      </c>
      <c r="AG68" s="23" t="e">
        <f t="shared" ca="1" si="18"/>
        <v>#N/A</v>
      </c>
      <c r="AH68" s="23" t="e">
        <f t="shared" ca="1" si="19"/>
        <v>#N/A</v>
      </c>
      <c r="AI68" s="23" t="e">
        <f t="shared" ca="1" si="20"/>
        <v>#N/A</v>
      </c>
    </row>
    <row r="69" spans="21:35" x14ac:dyDescent="0.2">
      <c r="U69" s="41"/>
      <c r="W69" s="43" t="e">
        <v>#N/A</v>
      </c>
      <c r="X69" s="43" t="e">
        <v>#N/A</v>
      </c>
      <c r="Y69" s="43" t="e">
        <v>#N/A</v>
      </c>
      <c r="Z69" s="23" t="e">
        <f t="shared" ca="1" si="11"/>
        <v>#N/A</v>
      </c>
      <c r="AA69" s="23" t="e">
        <f t="shared" ca="1" si="12"/>
        <v>#N/A</v>
      </c>
      <c r="AB69" s="23" t="e">
        <f t="shared" ca="1" si="13"/>
        <v>#N/A</v>
      </c>
      <c r="AC69" s="23" t="e">
        <f t="shared" ca="1" si="14"/>
        <v>#N/A</v>
      </c>
      <c r="AD69" s="23" t="e">
        <f t="shared" ca="1" si="15"/>
        <v>#N/A</v>
      </c>
      <c r="AE69" s="23" t="e">
        <f t="shared" ca="1" si="16"/>
        <v>#N/A</v>
      </c>
      <c r="AF69" s="23" t="e">
        <f t="shared" ca="1" si="17"/>
        <v>#N/A</v>
      </c>
      <c r="AG69" s="23" t="e">
        <f t="shared" ca="1" si="18"/>
        <v>#N/A</v>
      </c>
      <c r="AH69" s="23" t="e">
        <f t="shared" ca="1" si="19"/>
        <v>#N/A</v>
      </c>
      <c r="AI69" s="23" t="e">
        <f t="shared" ca="1" si="20"/>
        <v>#N/A</v>
      </c>
    </row>
    <row r="70" spans="21:35" x14ac:dyDescent="0.2">
      <c r="U70" s="41"/>
      <c r="W70" s="43" t="e">
        <v>#N/A</v>
      </c>
      <c r="X70" s="43" t="e">
        <v>#N/A</v>
      </c>
      <c r="Y70" s="43" t="e">
        <v>#N/A</v>
      </c>
      <c r="Z70" s="23" t="e">
        <f t="shared" ca="1" si="11"/>
        <v>#N/A</v>
      </c>
      <c r="AA70" s="23" t="e">
        <f t="shared" ca="1" si="12"/>
        <v>#N/A</v>
      </c>
      <c r="AB70" s="23" t="e">
        <f t="shared" ca="1" si="13"/>
        <v>#N/A</v>
      </c>
      <c r="AC70" s="23" t="e">
        <f t="shared" ca="1" si="14"/>
        <v>#N/A</v>
      </c>
      <c r="AD70" s="23" t="e">
        <f t="shared" ca="1" si="15"/>
        <v>#N/A</v>
      </c>
      <c r="AE70" s="23" t="e">
        <f t="shared" ca="1" si="16"/>
        <v>#N/A</v>
      </c>
      <c r="AF70" s="23" t="e">
        <f t="shared" ca="1" si="17"/>
        <v>#N/A</v>
      </c>
      <c r="AG70" s="23" t="e">
        <f t="shared" ca="1" si="18"/>
        <v>#N/A</v>
      </c>
      <c r="AH70" s="23" t="e">
        <f t="shared" ca="1" si="19"/>
        <v>#N/A</v>
      </c>
      <c r="AI70" s="23" t="e">
        <f t="shared" ca="1" si="20"/>
        <v>#N/A</v>
      </c>
    </row>
    <row r="71" spans="21:35" x14ac:dyDescent="0.2">
      <c r="U71" s="41"/>
      <c r="W71" s="43" t="e">
        <v>#N/A</v>
      </c>
      <c r="X71" s="43" t="e">
        <v>#N/A</v>
      </c>
      <c r="Y71" s="43" t="e">
        <v>#N/A</v>
      </c>
      <c r="Z71" s="23" t="e">
        <f t="shared" ca="1" si="11"/>
        <v>#N/A</v>
      </c>
      <c r="AA71" s="23" t="e">
        <f t="shared" ca="1" si="12"/>
        <v>#N/A</v>
      </c>
      <c r="AB71" s="23" t="e">
        <f t="shared" ca="1" si="13"/>
        <v>#N/A</v>
      </c>
      <c r="AC71" s="23" t="e">
        <f t="shared" ca="1" si="14"/>
        <v>#N/A</v>
      </c>
      <c r="AD71" s="23" t="e">
        <f t="shared" ca="1" si="15"/>
        <v>#N/A</v>
      </c>
      <c r="AE71" s="23" t="e">
        <f t="shared" ca="1" si="16"/>
        <v>#N/A</v>
      </c>
      <c r="AF71" s="23" t="e">
        <f t="shared" ca="1" si="17"/>
        <v>#N/A</v>
      </c>
      <c r="AG71" s="23" t="e">
        <f t="shared" ca="1" si="18"/>
        <v>#N/A</v>
      </c>
      <c r="AH71" s="23" t="e">
        <f t="shared" ca="1" si="19"/>
        <v>#N/A</v>
      </c>
      <c r="AI71" s="23" t="e">
        <f t="shared" ca="1" si="20"/>
        <v>#N/A</v>
      </c>
    </row>
    <row r="72" spans="21:35" x14ac:dyDescent="0.2">
      <c r="U72" s="41"/>
      <c r="W72" s="44" t="e">
        <v>#N/A</v>
      </c>
      <c r="X72" s="44" t="e">
        <v>#N/A</v>
      </c>
      <c r="Y72" s="44" t="e">
        <v>#N/A</v>
      </c>
      <c r="Z72" s="27" t="e">
        <f t="shared" ca="1" si="11"/>
        <v>#N/A</v>
      </c>
      <c r="AA72" s="27" t="e">
        <f t="shared" ca="1" si="12"/>
        <v>#N/A</v>
      </c>
      <c r="AB72" s="27" t="e">
        <f t="shared" ca="1" si="13"/>
        <v>#N/A</v>
      </c>
      <c r="AC72" s="27" t="e">
        <f t="shared" ca="1" si="14"/>
        <v>#N/A</v>
      </c>
      <c r="AD72" s="27" t="e">
        <f t="shared" ca="1" si="15"/>
        <v>#N/A</v>
      </c>
      <c r="AE72" s="27" t="e">
        <f t="shared" ca="1" si="16"/>
        <v>#N/A</v>
      </c>
      <c r="AF72" s="27" t="e">
        <f t="shared" ca="1" si="17"/>
        <v>#N/A</v>
      </c>
      <c r="AG72" s="27" t="e">
        <f t="shared" ca="1" si="18"/>
        <v>#N/A</v>
      </c>
      <c r="AH72" s="27" t="e">
        <f t="shared" ca="1" si="19"/>
        <v>#N/A</v>
      </c>
      <c r="AI72" s="27" t="e">
        <f t="shared" ca="1" si="20"/>
        <v>#N/A</v>
      </c>
    </row>
    <row r="73" spans="21:35" x14ac:dyDescent="0.2">
      <c r="U73" s="41"/>
    </row>
    <row r="74" spans="21:35" x14ac:dyDescent="0.2">
      <c r="U74" s="41"/>
    </row>
    <row r="75" spans="21:35" x14ac:dyDescent="0.2">
      <c r="U75" s="41"/>
    </row>
    <row r="76" spans="21:35" x14ac:dyDescent="0.2">
      <c r="U76" s="41"/>
    </row>
    <row r="77" spans="21:35" x14ac:dyDescent="0.2">
      <c r="U77" s="41"/>
    </row>
    <row r="78" spans="21:35" x14ac:dyDescent="0.2">
      <c r="U78" s="41"/>
    </row>
    <row r="79" spans="21:35" x14ac:dyDescent="0.2">
      <c r="U79" s="41"/>
    </row>
    <row r="80" spans="21:35" x14ac:dyDescent="0.2">
      <c r="U80" s="41"/>
    </row>
    <row r="81" spans="21:21" x14ac:dyDescent="0.2">
      <c r="U81" s="41"/>
    </row>
    <row r="82" spans="21:21" x14ac:dyDescent="0.2">
      <c r="U82" s="41"/>
    </row>
    <row r="83" spans="21:21" x14ac:dyDescent="0.2">
      <c r="U83" s="41"/>
    </row>
    <row r="84" spans="21:21" x14ac:dyDescent="0.2">
      <c r="U84" s="41"/>
    </row>
    <row r="85" spans="21:21" x14ac:dyDescent="0.2">
      <c r="U85" s="41"/>
    </row>
    <row r="86" spans="21:21" x14ac:dyDescent="0.2">
      <c r="U86" s="41"/>
    </row>
    <row r="87" spans="21:21" x14ac:dyDescent="0.2">
      <c r="U87" s="41"/>
    </row>
    <row r="88" spans="21:21" x14ac:dyDescent="0.2">
      <c r="U88" s="41"/>
    </row>
    <row r="89" spans="21:21" x14ac:dyDescent="0.2">
      <c r="U89" s="41"/>
    </row>
    <row r="90" spans="21:21" x14ac:dyDescent="0.2">
      <c r="U90" s="41"/>
    </row>
    <row r="91" spans="21:21" x14ac:dyDescent="0.2">
      <c r="U91" s="41"/>
    </row>
    <row r="92" spans="21:21" x14ac:dyDescent="0.2">
      <c r="U92" s="41"/>
    </row>
    <row r="93" spans="21:21" x14ac:dyDescent="0.2">
      <c r="U93" s="41"/>
    </row>
    <row r="94" spans="21:21" x14ac:dyDescent="0.2">
      <c r="U94" s="41"/>
    </row>
    <row r="95" spans="21:21" x14ac:dyDescent="0.2">
      <c r="U95" s="41"/>
    </row>
    <row r="96" spans="21:21" x14ac:dyDescent="0.2">
      <c r="U96" s="41"/>
    </row>
    <row r="97" spans="21:21" x14ac:dyDescent="0.2">
      <c r="U97" s="41"/>
    </row>
    <row r="98" spans="21:21" x14ac:dyDescent="0.2">
      <c r="U98" s="41"/>
    </row>
    <row r="99" spans="21:21" x14ac:dyDescent="0.2">
      <c r="U99" s="41"/>
    </row>
    <row r="100" spans="21:21" x14ac:dyDescent="0.2">
      <c r="U100" s="41"/>
    </row>
    <row r="101" spans="21:21" x14ac:dyDescent="0.2">
      <c r="U101" s="41"/>
    </row>
    <row r="102" spans="21:21" x14ac:dyDescent="0.2">
      <c r="U102" s="41"/>
    </row>
    <row r="103" spans="21:21" x14ac:dyDescent="0.2">
      <c r="U103" s="41"/>
    </row>
    <row r="104" spans="21:21" x14ac:dyDescent="0.2">
      <c r="U104" s="41"/>
    </row>
    <row r="105" spans="21:21" x14ac:dyDescent="0.2">
      <c r="U105" s="41"/>
    </row>
    <row r="106" spans="21:21" x14ac:dyDescent="0.2">
      <c r="U106" s="41"/>
    </row>
    <row r="107" spans="21:21" x14ac:dyDescent="0.2">
      <c r="U107" s="41"/>
    </row>
    <row r="108" spans="21:21" x14ac:dyDescent="0.2">
      <c r="U108" s="41"/>
    </row>
    <row r="109" spans="21:21" x14ac:dyDescent="0.2">
      <c r="U109" s="41"/>
    </row>
    <row r="110" spans="21:21" x14ac:dyDescent="0.2">
      <c r="U110" s="41"/>
    </row>
    <row r="111" spans="21:21" x14ac:dyDescent="0.2">
      <c r="U111" s="41"/>
    </row>
    <row r="112" spans="21:21" x14ac:dyDescent="0.2">
      <c r="U112" s="41"/>
    </row>
    <row r="113" spans="21:21" x14ac:dyDescent="0.2">
      <c r="U113" s="41"/>
    </row>
    <row r="114" spans="21:21" x14ac:dyDescent="0.2">
      <c r="U114" s="41"/>
    </row>
    <row r="115" spans="21:21" x14ac:dyDescent="0.2">
      <c r="U115" s="41"/>
    </row>
    <row r="116" spans="21:21" x14ac:dyDescent="0.2">
      <c r="U116" s="41"/>
    </row>
    <row r="117" spans="21:21" x14ac:dyDescent="0.2">
      <c r="U117" s="41"/>
    </row>
    <row r="118" spans="21:21" x14ac:dyDescent="0.2">
      <c r="U118" s="41"/>
    </row>
    <row r="119" spans="21:21" x14ac:dyDescent="0.2">
      <c r="U119" s="41"/>
    </row>
    <row r="120" spans="21:21" x14ac:dyDescent="0.2">
      <c r="U120" s="41"/>
    </row>
    <row r="121" spans="21:21" x14ac:dyDescent="0.2">
      <c r="U121" s="41"/>
    </row>
    <row r="122" spans="21:21" x14ac:dyDescent="0.2">
      <c r="U122" s="41"/>
    </row>
    <row r="123" spans="21:21" x14ac:dyDescent="0.2">
      <c r="U123" s="41"/>
    </row>
    <row r="124" spans="21:21" x14ac:dyDescent="0.2">
      <c r="U124" s="41"/>
    </row>
    <row r="125" spans="21:21" x14ac:dyDescent="0.2">
      <c r="U125" s="41"/>
    </row>
    <row r="126" spans="21:21" x14ac:dyDescent="0.2">
      <c r="U126" s="41"/>
    </row>
    <row r="127" spans="21:21" x14ac:dyDescent="0.2">
      <c r="U127" s="41"/>
    </row>
    <row r="128" spans="21:21" x14ac:dyDescent="0.2">
      <c r="U128" s="41"/>
    </row>
    <row r="129" spans="21:21" x14ac:dyDescent="0.2">
      <c r="U129" s="41"/>
    </row>
    <row r="130" spans="21:21" x14ac:dyDescent="0.2">
      <c r="U130" s="41"/>
    </row>
    <row r="131" spans="21:21" x14ac:dyDescent="0.2">
      <c r="U131" s="41"/>
    </row>
    <row r="132" spans="21:21" x14ac:dyDescent="0.2">
      <c r="U132" s="41"/>
    </row>
    <row r="133" spans="21:21" x14ac:dyDescent="0.2">
      <c r="U133" s="41"/>
    </row>
    <row r="134" spans="21:21" x14ac:dyDescent="0.2">
      <c r="U134" s="41"/>
    </row>
    <row r="135" spans="21:21" x14ac:dyDescent="0.2">
      <c r="U135" s="41"/>
    </row>
    <row r="136" spans="21:21" x14ac:dyDescent="0.2">
      <c r="U136" s="41"/>
    </row>
    <row r="137" spans="21:21" x14ac:dyDescent="0.2">
      <c r="U137" s="41"/>
    </row>
    <row r="138" spans="21:21" x14ac:dyDescent="0.2">
      <c r="U138" s="41"/>
    </row>
    <row r="139" spans="21:21" x14ac:dyDescent="0.2">
      <c r="U139" s="41"/>
    </row>
    <row r="140" spans="21:21" x14ac:dyDescent="0.2">
      <c r="U140" s="41"/>
    </row>
    <row r="141" spans="21:21" x14ac:dyDescent="0.2">
      <c r="U141" s="41"/>
    </row>
    <row r="142" spans="21:21" x14ac:dyDescent="0.2">
      <c r="U142" s="41"/>
    </row>
    <row r="143" spans="21:21" x14ac:dyDescent="0.2">
      <c r="U143" s="41"/>
    </row>
    <row r="144" spans="21:21" x14ac:dyDescent="0.2">
      <c r="U144" s="41"/>
    </row>
    <row r="145" spans="21:21" x14ac:dyDescent="0.2">
      <c r="U145" s="41"/>
    </row>
    <row r="146" spans="21:21" x14ac:dyDescent="0.2">
      <c r="U146" s="41"/>
    </row>
    <row r="147" spans="21:21" x14ac:dyDescent="0.2">
      <c r="U147" s="41"/>
    </row>
    <row r="148" spans="21:21" x14ac:dyDescent="0.2">
      <c r="U148" s="41"/>
    </row>
    <row r="149" spans="21:21" x14ac:dyDescent="0.2">
      <c r="U149" s="41"/>
    </row>
    <row r="150" spans="21:21" x14ac:dyDescent="0.2">
      <c r="U150" s="41"/>
    </row>
    <row r="151" spans="21:21" x14ac:dyDescent="0.2">
      <c r="U151" s="41"/>
    </row>
    <row r="152" spans="21:21" x14ac:dyDescent="0.2">
      <c r="U152" s="41"/>
    </row>
    <row r="153" spans="21:21" x14ac:dyDescent="0.2">
      <c r="U153" s="41"/>
    </row>
    <row r="154" spans="21:21" x14ac:dyDescent="0.2">
      <c r="U154" s="41"/>
    </row>
    <row r="155" spans="21:21" x14ac:dyDescent="0.2">
      <c r="U155" s="41"/>
    </row>
    <row r="156" spans="21:21" x14ac:dyDescent="0.2">
      <c r="U156" s="41"/>
    </row>
    <row r="157" spans="21:21" x14ac:dyDescent="0.2">
      <c r="U157" s="41"/>
    </row>
    <row r="158" spans="21:21" x14ac:dyDescent="0.2">
      <c r="U158" s="41"/>
    </row>
    <row r="159" spans="21:21" x14ac:dyDescent="0.2">
      <c r="U159" s="41"/>
    </row>
    <row r="160" spans="21:21" x14ac:dyDescent="0.2">
      <c r="U160" s="41"/>
    </row>
    <row r="161" spans="21:21" x14ac:dyDescent="0.2">
      <c r="U161" s="41"/>
    </row>
    <row r="162" spans="21:21" x14ac:dyDescent="0.2">
      <c r="U162" s="41"/>
    </row>
    <row r="163" spans="21:21" x14ac:dyDescent="0.2">
      <c r="U163" s="41"/>
    </row>
    <row r="164" spans="21:21" x14ac:dyDescent="0.2">
      <c r="U164" s="41"/>
    </row>
    <row r="165" spans="21:21" x14ac:dyDescent="0.2">
      <c r="U165" s="41"/>
    </row>
    <row r="166" spans="21:21" x14ac:dyDescent="0.2">
      <c r="U166" s="41"/>
    </row>
    <row r="167" spans="21:21" x14ac:dyDescent="0.2">
      <c r="U167" s="41"/>
    </row>
    <row r="168" spans="21:21" x14ac:dyDescent="0.2">
      <c r="U168" s="41"/>
    </row>
    <row r="169" spans="21:21" x14ac:dyDescent="0.2">
      <c r="U169" s="41"/>
    </row>
    <row r="170" spans="21:21" x14ac:dyDescent="0.2">
      <c r="U170" s="41"/>
    </row>
    <row r="171" spans="21:21" x14ac:dyDescent="0.2">
      <c r="U171" s="41"/>
    </row>
    <row r="172" spans="21:21" x14ac:dyDescent="0.2">
      <c r="U172" s="41"/>
    </row>
    <row r="173" spans="21:21" x14ac:dyDescent="0.2">
      <c r="U173" s="41"/>
    </row>
    <row r="174" spans="21:21" x14ac:dyDescent="0.2">
      <c r="U174" s="41"/>
    </row>
    <row r="175" spans="21:21" x14ac:dyDescent="0.2">
      <c r="U175" s="41"/>
    </row>
    <row r="176" spans="21:21" x14ac:dyDescent="0.2">
      <c r="U176" s="41"/>
    </row>
  </sheetData>
  <conditionalFormatting sqref="H45:I51">
    <cfRule type="containsErrors" dxfId="18" priority="3">
      <formula>ISERROR(H45)</formula>
    </cfRule>
  </conditionalFormatting>
  <conditionalFormatting sqref="J45:K51">
    <cfRule type="containsErrors" dxfId="17" priority="2">
      <formula>ISERROR(J45)</formula>
    </cfRule>
  </conditionalFormatting>
  <conditionalFormatting sqref="W45:AI72">
    <cfRule type="containsErrors" dxfId="16" priority="1">
      <formula>ISERROR(W45)</formula>
    </cfRule>
  </conditionalFormatting>
  <printOptions horizontalCentered="1" verticalCentered="1"/>
  <pageMargins left="0.59055118110236227" right="0.59055118110236227" top="0.59055118110236227" bottom="0.59055118110236227" header="0.39370078740157483" footer="0.39370078740157483"/>
  <pageSetup orientation="landscape" r:id="rId1"/>
  <ignoredErrors>
    <ignoredError sqref="J45:K51 Z45:AI72" evalError="1"/>
  </ignoredErrors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Fill="0" autoLine="0" r:id="rId5">
            <anchor moveWithCells="1">
              <from>
                <xdr:col>8</xdr:col>
                <xdr:colOff>114300</xdr:colOff>
                <xdr:row>17</xdr:row>
                <xdr:rowOff>19050</xdr:rowOff>
              </from>
              <to>
                <xdr:col>10</xdr:col>
                <xdr:colOff>314325</xdr:colOff>
                <xdr:row>18</xdr:row>
                <xdr:rowOff>133350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13</xdr:col>
                <xdr:colOff>133350</xdr:colOff>
                <xdr:row>12</xdr:row>
                <xdr:rowOff>19050</xdr:rowOff>
              </from>
              <to>
                <xdr:col>15</xdr:col>
                <xdr:colOff>333375</xdr:colOff>
                <xdr:row>14</xdr:row>
                <xdr:rowOff>0</xdr:rowOff>
              </to>
            </anchor>
          </controlPr>
        </control>
      </mc:Choice>
      <mc:Fallback>
        <control shapeId="81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5AC0-D967-434F-9C12-FFBB1625BB00}">
  <sheetPr codeName="Sheet7"/>
  <dimension ref="A1:AS72"/>
  <sheetViews>
    <sheetView topLeftCell="A4" zoomScale="85" zoomScaleNormal="85" workbookViewId="0">
      <selection activeCell="B15" sqref="B15"/>
    </sheetView>
  </sheetViews>
  <sheetFormatPr defaultColWidth="5.7109375" defaultRowHeight="12.75" x14ac:dyDescent="0.2"/>
  <cols>
    <col min="1" max="19" width="6.5703125" style="2" customWidth="1"/>
    <col min="20" max="20" width="9.42578125" style="2" bestFit="1" customWidth="1"/>
    <col min="21" max="21" width="6.5703125" style="2" customWidth="1"/>
    <col min="22" max="22" width="5.7109375" style="2"/>
    <col min="23" max="23" width="6.7109375" style="2" bestFit="1" customWidth="1"/>
    <col min="24" max="24" width="6.28515625" style="2" customWidth="1"/>
    <col min="25" max="25" width="5.85546875" style="2" bestFit="1" customWidth="1"/>
    <col min="26" max="26" width="6.7109375" style="2" bestFit="1" customWidth="1"/>
    <col min="27" max="27" width="6.5703125" style="2" customWidth="1"/>
    <col min="28" max="39" width="5.85546875" style="2" bestFit="1" customWidth="1"/>
    <col min="40" max="40" width="5.7109375" style="2"/>
    <col min="41" max="44" width="5.85546875" style="2" bestFit="1" customWidth="1"/>
    <col min="45" max="16384" width="5.7109375" style="2"/>
  </cols>
  <sheetData>
    <row r="1" spans="1:44" x14ac:dyDescent="0.2">
      <c r="A1" s="58" t="s">
        <v>24</v>
      </c>
      <c r="B1" s="59"/>
      <c r="C1" s="59"/>
      <c r="D1" s="59"/>
      <c r="E1" s="59"/>
      <c r="F1" s="59"/>
      <c r="G1" s="59"/>
      <c r="H1" s="1"/>
      <c r="I1" s="60" t="s">
        <v>25</v>
      </c>
      <c r="J1" s="59"/>
      <c r="K1" s="59"/>
      <c r="L1" s="59"/>
      <c r="M1" s="59"/>
      <c r="N1" s="59"/>
      <c r="O1" s="59"/>
      <c r="P1" s="59"/>
      <c r="Q1" s="59"/>
      <c r="R1" s="59"/>
      <c r="S1" s="30"/>
      <c r="W1" s="3" t="s">
        <v>5</v>
      </c>
      <c r="X1" s="4">
        <v>0.85</v>
      </c>
      <c r="Z1" s="3" t="s">
        <v>26</v>
      </c>
      <c r="AA1" s="5">
        <f ca="1">MAX(OFFSET($AD$45,0,0,COUNT($AD$45:$AD$72)))</f>
        <v>66.667982908242848</v>
      </c>
      <c r="AC1" s="6" t="s">
        <v>13</v>
      </c>
      <c r="AD1" s="7">
        <f>MIN(Q3:Q42)</f>
        <v>-220.53742980957031</v>
      </c>
      <c r="AI1" s="6" t="s">
        <v>13</v>
      </c>
      <c r="AJ1" s="7">
        <f>MAX(Q3:Q42)</f>
        <v>-112.76921844482422</v>
      </c>
    </row>
    <row r="2" spans="1:44" x14ac:dyDescent="0.2">
      <c r="A2" s="8" t="s">
        <v>126</v>
      </c>
      <c r="B2" s="9"/>
      <c r="C2" s="9"/>
      <c r="D2" s="9"/>
      <c r="E2" s="9"/>
      <c r="F2" s="9"/>
      <c r="G2" s="9"/>
      <c r="H2" s="9"/>
      <c r="I2" s="8" t="s">
        <v>123</v>
      </c>
      <c r="J2" s="9"/>
      <c r="K2" s="9"/>
      <c r="L2" s="9"/>
      <c r="M2" s="9"/>
      <c r="N2" s="9"/>
      <c r="O2" s="9"/>
      <c r="P2" s="10"/>
      <c r="Q2" s="6" t="s">
        <v>13</v>
      </c>
      <c r="R2" s="6" t="s">
        <v>19</v>
      </c>
      <c r="S2" s="6" t="s">
        <v>20</v>
      </c>
      <c r="T2" s="6" t="s">
        <v>22</v>
      </c>
      <c r="U2" s="6" t="s">
        <v>32</v>
      </c>
      <c r="W2" s="3" t="s">
        <v>33</v>
      </c>
      <c r="X2" s="4">
        <v>0.65</v>
      </c>
      <c r="Z2" s="3" t="s">
        <v>34</v>
      </c>
      <c r="AA2" s="5">
        <f ca="1">AA1/(1-X4/X5)</f>
        <v>25.000493590591066</v>
      </c>
      <c r="AC2" s="6" t="s">
        <v>18</v>
      </c>
      <c r="AD2" s="6" t="s">
        <v>35</v>
      </c>
      <c r="AE2" s="6" t="s">
        <v>13</v>
      </c>
      <c r="AF2" s="6" t="s">
        <v>19</v>
      </c>
      <c r="AG2" s="6" t="s">
        <v>20</v>
      </c>
      <c r="AI2" s="6" t="s">
        <v>18</v>
      </c>
      <c r="AJ2" s="6" t="s">
        <v>35</v>
      </c>
      <c r="AK2" s="6" t="s">
        <v>13</v>
      </c>
      <c r="AL2" s="6" t="s">
        <v>19</v>
      </c>
      <c r="AM2" s="6" t="s">
        <v>20</v>
      </c>
      <c r="AO2" s="6" t="s">
        <v>13</v>
      </c>
      <c r="AP2" s="6" t="s">
        <v>19</v>
      </c>
      <c r="AQ2" s="6" t="s">
        <v>20</v>
      </c>
      <c r="AR2" s="6" t="s">
        <v>32</v>
      </c>
    </row>
    <row r="3" spans="1:44" x14ac:dyDescent="0.2">
      <c r="A3" s="11" t="s">
        <v>3</v>
      </c>
      <c r="B3" s="12">
        <v>0.28000000000000003</v>
      </c>
      <c r="C3" s="13"/>
      <c r="D3" s="13"/>
      <c r="E3" s="13"/>
      <c r="F3" s="13"/>
      <c r="G3" s="13"/>
      <c r="H3" s="13"/>
      <c r="I3" s="6" t="s">
        <v>27</v>
      </c>
      <c r="J3" s="6" t="s">
        <v>29</v>
      </c>
      <c r="K3" s="6" t="s">
        <v>28</v>
      </c>
      <c r="L3" s="6" t="s">
        <v>30</v>
      </c>
      <c r="M3" s="6" t="s">
        <v>31</v>
      </c>
      <c r="N3" s="13"/>
      <c r="O3" s="13"/>
      <c r="P3" s="14"/>
      <c r="Q3" s="17">
        <v>-193.47468566894531</v>
      </c>
      <c r="R3" s="17">
        <v>1899.5633544921875</v>
      </c>
      <c r="S3" s="17">
        <v>746.16998291015625</v>
      </c>
      <c r="T3" s="18" t="s">
        <v>192</v>
      </c>
      <c r="U3" s="18">
        <f>IF(COUNT(Q3),S3*COS($X$6)+R3*SIN($X$6),"")</f>
        <v>2007.0518922543552</v>
      </c>
      <c r="W3" s="3" t="s">
        <v>36</v>
      </c>
      <c r="X3" s="4">
        <v>0.9</v>
      </c>
      <c r="Z3" s="3" t="s">
        <v>37</v>
      </c>
      <c r="AA3" s="5">
        <f ca="1">AA1/(1-X7/X5)</f>
        <v>40.000790471569076</v>
      </c>
      <c r="AC3" s="18">
        <v>0</v>
      </c>
      <c r="AD3" s="18">
        <f t="shared" ref="AD3:AD38" si="0">XCOMPRESST2($B$4,$B$5,$B$6,$B$15,$B$16,$B$17,$B$18,$B$19,$B$20,$B$11,$B$12,$B$13,$B$7,$B$8,AC3,$AD$1,$B$3,$B$14)</f>
        <v>48.404464721679688</v>
      </c>
      <c r="AE3" s="18">
        <f t="array" ref="AE3:AG3">FLEXCOMPBIAXT2($B$4,$B$5,$B$6,$B$15,$B$16,$B$17,$B$18,$B$19,$B$20,$B$11,$B$12,$B$13,$B$7,$B$8,AC3,AD3,$B$3,$B$14)</f>
        <v>-220.54848679328563</v>
      </c>
      <c r="AF3" s="18">
        <v>-730.74907508357592</v>
      </c>
      <c r="AG3" s="18">
        <v>2356.5814847772313</v>
      </c>
      <c r="AI3" s="18">
        <v>0</v>
      </c>
      <c r="AJ3" s="18">
        <f t="shared" ref="AJ3:AJ39" si="1">XCOMPRESST2($B$4,$B$5,$B$6,$B$15,$B$16,$B$17,$B$18,$B$19,$B$20,$B$11,$B$12,$B$13,$B$7,$B$8,AI3,$AJ$1,$B$3,$B$14)</f>
        <v>37.084884643554688</v>
      </c>
      <c r="AK3" s="18">
        <f t="array" ref="AK3:AM3">FLEXCOMPBIAXT2($B$4,$B$5,$B$6,$B$15,$B$16,$B$17,$B$18,$B$19,$B$20,$B$11,$B$12,$B$13,$B$7,$B$8,AI3,AJ3,$B$3,$B$14)</f>
        <v>-112.76867483589308</v>
      </c>
      <c r="AL3" s="18">
        <v>-853.49264308159877</v>
      </c>
      <c r="AM3" s="18">
        <v>2854.3433700688556</v>
      </c>
      <c r="AO3" s="18">
        <f t="array" ref="AO3:AQ16">DIAGRAFLEXCOMPT2(B4,B5,B6,B15,B16,B17,B18,B19,B20,B11,B12,B13,B7,B8,B9,B3,B14)</f>
        <v>190.00351506046883</v>
      </c>
      <c r="AP3" s="18">
        <v>-85.122195515413466</v>
      </c>
      <c r="AQ3" s="18">
        <v>-31.503557653989194</v>
      </c>
      <c r="AR3" s="18">
        <f>AQ3*COS($X$6)+AP3*SIN($X$6)</f>
        <v>-89.569935985362392</v>
      </c>
    </row>
    <row r="4" spans="1:44" x14ac:dyDescent="0.2">
      <c r="A4" s="11" t="s">
        <v>0</v>
      </c>
      <c r="B4" s="12">
        <v>0.20999999344348907</v>
      </c>
      <c r="C4" s="13"/>
      <c r="D4" s="13"/>
      <c r="E4" s="13"/>
      <c r="F4" s="13"/>
      <c r="G4" s="13"/>
      <c r="H4" s="13"/>
      <c r="I4" s="19">
        <f t="array" ref="I4:K4">FLEXCOMPBIAXT2($B$4,$B$5,$B$6,$B$15,$B$16,$B$17,$B$18,$B$19,$B$20,$B$11,$B$12,$B$13,$B$7,$B$8,$B$9,$B$10,$B$3,$B$14)</f>
        <v>-59.800288284399571</v>
      </c>
      <c r="J4" s="19">
        <v>3709.6881965803132</v>
      </c>
      <c r="K4" s="19">
        <v>-597.31430895989854</v>
      </c>
      <c r="L4" s="7">
        <f>K4*COS($X$6)+J4*SIN($X$6)</f>
        <v>3527.5126287062676</v>
      </c>
      <c r="M4" s="7">
        <f>SQRT(I4^2+J4^2+K4^2)</f>
        <v>3757.9445144938522</v>
      </c>
      <c r="N4" s="13"/>
      <c r="O4" s="13"/>
      <c r="P4" s="14"/>
      <c r="Q4" s="22">
        <v>-195.07479858398438</v>
      </c>
      <c r="R4" s="22">
        <v>-1394.5313720703125</v>
      </c>
      <c r="S4" s="22">
        <v>1161.10400390625</v>
      </c>
      <c r="T4" s="23" t="s">
        <v>192</v>
      </c>
      <c r="U4" s="23">
        <f t="shared" ref="U4:U42" si="2">IF(COUNT(Q4),S4*COS($X$6)+R4*SIN($X$6),"")</f>
        <v>-1147.3117113892336</v>
      </c>
      <c r="W4" s="3" t="s">
        <v>7</v>
      </c>
      <c r="X4" s="4">
        <v>5</v>
      </c>
      <c r="Z4" s="3" t="s">
        <v>39</v>
      </c>
      <c r="AA4" s="5">
        <f ca="1">IF(B10&lt;AA2,X4/(B10-AA1),X5/B10)</f>
        <v>-8.9109517804309674E-2</v>
      </c>
      <c r="AC4" s="23">
        <v>10</v>
      </c>
      <c r="AD4" s="23">
        <f t="shared" si="0"/>
        <v>48.886604371889845</v>
      </c>
      <c r="AE4" s="23">
        <f t="array" ref="AE4:AG4">FLEXCOMPBIAXT2($B$4,$B$5,$B$6,$B$15,$B$16,$B$17,$B$18,$B$19,$B$20,$B$11,$B$12,$B$13,$B$7,$B$8,AC4,AD4,$B$3,$B$14)</f>
        <v>-220.55689623524117</v>
      </c>
      <c r="AF4" s="23">
        <v>103.74198354713594</v>
      </c>
      <c r="AG4" s="23">
        <v>2255.8109108479025</v>
      </c>
      <c r="AI4" s="23">
        <v>10</v>
      </c>
      <c r="AJ4" s="23">
        <f t="shared" si="1"/>
        <v>38.57535117898621</v>
      </c>
      <c r="AK4" s="23">
        <f t="array" ref="AK4:AM4">FLEXCOMPBIAXT2($B$4,$B$5,$B$6,$B$15,$B$16,$B$17,$B$18,$B$19,$B$20,$B$11,$B$12,$B$13,$B$7,$B$8,AI4,AJ4,$B$3,$B$14)</f>
        <v>-112.76143362125853</v>
      </c>
      <c r="AL4" s="23">
        <v>-199.321590692863</v>
      </c>
      <c r="AM4" s="23">
        <v>2723.9003289954021</v>
      </c>
      <c r="AO4" s="23">
        <v>167.75839633263072</v>
      </c>
      <c r="AP4" s="23">
        <v>607.13171374862054</v>
      </c>
      <c r="AQ4" s="23">
        <v>-266.09850906798232</v>
      </c>
      <c r="AR4" s="23">
        <f t="shared" ref="AR4:AR30" si="3">AQ4*COS($X$6)+AP4*SIN($X$6)</f>
        <v>545.18983522951487</v>
      </c>
    </row>
    <row r="5" spans="1:44" x14ac:dyDescent="0.2">
      <c r="A5" s="11" t="s">
        <v>1</v>
      </c>
      <c r="B5" s="12">
        <v>4.1999998092651367</v>
      </c>
      <c r="C5" s="13"/>
      <c r="D5" s="13"/>
      <c r="E5" s="13"/>
      <c r="F5" s="13"/>
      <c r="G5" s="13"/>
      <c r="H5" s="13"/>
      <c r="I5" s="7">
        <f>I4/M4</f>
        <v>-1.5913031193983424E-2</v>
      </c>
      <c r="J5" s="7">
        <f>J4/M4</f>
        <v>0.98715885300397033</v>
      </c>
      <c r="K5" s="7">
        <f>K4/M4</f>
        <v>-0.15894708042019862</v>
      </c>
      <c r="L5" s="13"/>
      <c r="M5" s="13"/>
      <c r="N5" s="13"/>
      <c r="O5" s="13"/>
      <c r="P5" s="14"/>
      <c r="Q5" s="22">
        <v>-218.93733215332031</v>
      </c>
      <c r="R5" s="22">
        <v>1772.7008056640625</v>
      </c>
      <c r="S5" s="22">
        <v>17.301162719726563</v>
      </c>
      <c r="T5" s="23" t="s">
        <v>23</v>
      </c>
      <c r="U5" s="23">
        <f t="shared" si="2"/>
        <v>1743.4212946080318</v>
      </c>
      <c r="W5" s="3" t="s">
        <v>8</v>
      </c>
      <c r="X5" s="4">
        <v>-3</v>
      </c>
      <c r="Z5" s="3" t="s">
        <v>40</v>
      </c>
      <c r="AA5" s="5">
        <f ca="1">MAX(OFFSET($AE$45,0,0,COUNT($AE$45:$AE$72)))</f>
        <v>2.9407518099394792</v>
      </c>
      <c r="AC5" s="23">
        <v>20</v>
      </c>
      <c r="AD5" s="23">
        <f t="shared" si="0"/>
        <v>47.944763655873047</v>
      </c>
      <c r="AE5" s="23">
        <f t="array" ref="AE5:AG5">FLEXCOMPBIAXT2($B$4,$B$5,$B$6,$B$15,$B$16,$B$17,$B$18,$B$19,$B$20,$B$11,$B$12,$B$13,$B$7,$B$8,AC5,AD5,$B$3,$B$14)</f>
        <v>-220.5425952929445</v>
      </c>
      <c r="AF5" s="23">
        <v>977.48712740003191</v>
      </c>
      <c r="AG5" s="23">
        <v>2040.5503668811639</v>
      </c>
      <c r="AI5" s="23">
        <v>20</v>
      </c>
      <c r="AJ5" s="23">
        <f t="shared" si="1"/>
        <v>37.711706820998423</v>
      </c>
      <c r="AK5" s="23">
        <f t="array" ref="AK5:AM5">FLEXCOMPBIAXT2($B$4,$B$5,$B$6,$B$15,$B$16,$B$17,$B$18,$B$19,$B$20,$B$11,$B$12,$B$13,$B$7,$B$8,AI5,AJ5,$B$3,$B$14)</f>
        <v>-112.74462100122639</v>
      </c>
      <c r="AL5" s="23">
        <v>598.72771038349219</v>
      </c>
      <c r="AM5" s="23">
        <v>2562.6784508031965</v>
      </c>
      <c r="AO5" s="23">
        <v>113.21885574742453</v>
      </c>
      <c r="AP5" s="23">
        <v>2183.8619426344248</v>
      </c>
      <c r="AQ5" s="23">
        <v>-656.6728312222491</v>
      </c>
      <c r="AR5" s="23">
        <f t="shared" si="3"/>
        <v>2018.4020950905249</v>
      </c>
    </row>
    <row r="6" spans="1:44" x14ac:dyDescent="0.2">
      <c r="A6" s="11" t="s">
        <v>2</v>
      </c>
      <c r="B6" s="12">
        <v>2100</v>
      </c>
      <c r="C6" s="13"/>
      <c r="D6" s="13"/>
      <c r="E6" s="13"/>
      <c r="F6" s="13"/>
      <c r="G6" s="13"/>
      <c r="H6" s="13"/>
      <c r="I6" s="24"/>
      <c r="J6" s="13"/>
      <c r="K6" s="13"/>
      <c r="L6" s="13"/>
      <c r="M6" s="13"/>
      <c r="N6" s="13"/>
      <c r="O6" s="13"/>
      <c r="P6" s="14"/>
      <c r="Q6" s="22">
        <v>-184.29052734375</v>
      </c>
      <c r="R6" s="22">
        <v>1676.9306640625</v>
      </c>
      <c r="S6" s="22">
        <v>17.845218658447266</v>
      </c>
      <c r="T6" s="23" t="s">
        <v>191</v>
      </c>
      <c r="U6" s="23">
        <f t="shared" si="2"/>
        <v>1649.5151879747239</v>
      </c>
      <c r="W6" s="3" t="s">
        <v>43</v>
      </c>
      <c r="X6" s="5">
        <f>RADIANS(B9)</f>
        <v>1.3787751821416023</v>
      </c>
      <c r="Z6" s="3" t="s">
        <v>44</v>
      </c>
      <c r="AA6" s="5">
        <f ca="1">IF(AA5&lt;X7,X2,IF(AA5&gt;X4,X3,X2+(X3-X2)*(AA5-X7)/(X4-X7)))</f>
        <v>0.72839598935699912</v>
      </c>
      <c r="AC6" s="23">
        <v>30</v>
      </c>
      <c r="AD6" s="23">
        <f t="shared" si="0"/>
        <v>45.905264923246392</v>
      </c>
      <c r="AE6" s="23">
        <f t="array" ref="AE6:AG6">FLEXCOMPBIAXT2($B$4,$B$5,$B$6,$B$15,$B$16,$B$17,$B$18,$B$19,$B$20,$B$11,$B$12,$B$13,$B$7,$B$8,AC6,AD6,$B$3,$B$14)</f>
        <v>-220.50972847262187</v>
      </c>
      <c r="AF6" s="23">
        <v>1742.9841201207435</v>
      </c>
      <c r="AG6" s="23">
        <v>1763.753911674836</v>
      </c>
      <c r="AI6" s="23">
        <v>30</v>
      </c>
      <c r="AJ6" s="23">
        <f t="shared" si="1"/>
        <v>34.908558248289367</v>
      </c>
      <c r="AK6" s="23">
        <f t="array" ref="AK6:AM6">FLEXCOMPBIAXT2($B$4,$B$5,$B$6,$B$15,$B$16,$B$17,$B$18,$B$19,$B$20,$B$11,$B$12,$B$13,$B$7,$B$8,AI6,AJ6,$B$3,$B$14)</f>
        <v>-112.78756004530551</v>
      </c>
      <c r="AL6" s="23">
        <v>1374.1555087421848</v>
      </c>
      <c r="AM6" s="23">
        <v>2398.7607314088955</v>
      </c>
      <c r="AO6" s="23">
        <v>71.093035439316481</v>
      </c>
      <c r="AP6" s="23">
        <v>3121.3540055212752</v>
      </c>
      <c r="AQ6" s="23">
        <v>-888.43150515150182</v>
      </c>
      <c r="AR6" s="23">
        <f t="shared" si="3"/>
        <v>2894.4339543142296</v>
      </c>
    </row>
    <row r="7" spans="1:44" x14ac:dyDescent="0.2">
      <c r="A7" s="11" t="s">
        <v>109</v>
      </c>
      <c r="B7" s="12">
        <v>3</v>
      </c>
      <c r="C7" s="13"/>
      <c r="D7" s="13"/>
      <c r="E7" s="13"/>
      <c r="F7" s="13"/>
      <c r="G7" s="13"/>
      <c r="H7" s="13"/>
      <c r="I7" s="25" t="s">
        <v>124</v>
      </c>
      <c r="J7" s="13"/>
      <c r="K7" s="13"/>
      <c r="L7" s="13"/>
      <c r="M7" s="13"/>
      <c r="N7" s="13"/>
      <c r="O7" s="13"/>
      <c r="P7" s="14"/>
      <c r="Q7" s="22">
        <v>-193.10365295410156</v>
      </c>
      <c r="R7" s="22">
        <v>1509.0343017578125</v>
      </c>
      <c r="S7" s="22">
        <v>39.045375823974609</v>
      </c>
      <c r="T7" s="23" t="s">
        <v>128</v>
      </c>
      <c r="U7" s="23">
        <f t="shared" si="2"/>
        <v>1488.7505812993325</v>
      </c>
      <c r="W7" s="3" t="s">
        <v>45</v>
      </c>
      <c r="X7" s="5">
        <f>B5/B6*1000</f>
        <v>1.9999999091738747</v>
      </c>
      <c r="Z7" s="3" t="s">
        <v>46</v>
      </c>
      <c r="AA7" s="5">
        <f ca="1">SUM(OFFSET($AG$45,0,0,COUNT($AG$45:$AG$72)))</f>
        <v>31.32390026339721</v>
      </c>
      <c r="AC7" s="23">
        <v>40</v>
      </c>
      <c r="AD7" s="23">
        <f t="shared" si="0"/>
        <v>42.757547235003635</v>
      </c>
      <c r="AE7" s="23">
        <f t="array" ref="AE7:AG7">FLEXCOMPBIAXT2($B$4,$B$5,$B$6,$B$15,$B$16,$B$17,$B$18,$B$19,$B$20,$B$11,$B$12,$B$13,$B$7,$B$8,AC7,AD7,$B$3,$B$14)</f>
        <v>-220.55205919298771</v>
      </c>
      <c r="AF7" s="23">
        <v>2258.133487325536</v>
      </c>
      <c r="AG7" s="23">
        <v>1537.9365872676449</v>
      </c>
      <c r="AI7" s="23">
        <v>40</v>
      </c>
      <c r="AJ7" s="23">
        <f t="shared" si="1"/>
        <v>30.459175176028666</v>
      </c>
      <c r="AK7" s="23">
        <f t="array" ref="AK7:AM7">FLEXCOMPBIAXT2($B$4,$B$5,$B$6,$B$15,$B$16,$B$17,$B$18,$B$19,$B$20,$B$11,$B$12,$B$13,$B$7,$B$8,AI7,AJ7,$B$3,$B$14)</f>
        <v>-112.77199233328382</v>
      </c>
      <c r="AL7" s="23">
        <v>2347.5856048100036</v>
      </c>
      <c r="AM7" s="23">
        <v>2198.5215329587968</v>
      </c>
      <c r="AO7" s="23">
        <v>21.223159158586881</v>
      </c>
      <c r="AP7" s="23">
        <v>4030.8751341866709</v>
      </c>
      <c r="AQ7" s="23">
        <v>-1152.3608570898189</v>
      </c>
      <c r="AR7" s="23">
        <f t="shared" si="3"/>
        <v>3736.869412858448</v>
      </c>
    </row>
    <row r="8" spans="1:44" x14ac:dyDescent="0.2">
      <c r="A8" s="11" t="s">
        <v>4</v>
      </c>
      <c r="B8" s="12">
        <v>15</v>
      </c>
      <c r="C8" s="13"/>
      <c r="D8" s="13"/>
      <c r="E8" s="13"/>
      <c r="F8" s="13"/>
      <c r="G8" s="13"/>
      <c r="H8" s="13"/>
      <c r="I8" s="6" t="s">
        <v>41</v>
      </c>
      <c r="J8" s="6" t="s">
        <v>15</v>
      </c>
      <c r="K8" s="6" t="s">
        <v>14</v>
      </c>
      <c r="L8" s="6" t="s">
        <v>122</v>
      </c>
      <c r="M8" s="6" t="s">
        <v>42</v>
      </c>
      <c r="N8" s="13"/>
      <c r="O8" s="13"/>
      <c r="P8" s="14"/>
      <c r="Q8" s="22">
        <v>-193.0272216796875</v>
      </c>
      <c r="R8" s="22">
        <v>1504.3433837890625</v>
      </c>
      <c r="S8" s="22">
        <v>26.148242950439453</v>
      </c>
      <c r="T8" s="23" t="s">
        <v>204</v>
      </c>
      <c r="U8" s="23">
        <f t="shared" si="2"/>
        <v>1481.6845488242468</v>
      </c>
      <c r="W8" s="3" t="s">
        <v>6</v>
      </c>
      <c r="X8" s="5">
        <f>-X1*B4</f>
        <v>-0.17849999442696571</v>
      </c>
      <c r="Z8" s="3" t="s">
        <v>47</v>
      </c>
      <c r="AA8" s="5">
        <f ca="1">SUM(OFFSET(AH45,0,0,COUNT($AH$45:$AH$72)))</f>
        <v>-2413.3933676768861</v>
      </c>
      <c r="AC8" s="23">
        <v>50</v>
      </c>
      <c r="AD8" s="23">
        <f t="shared" si="0"/>
        <v>39.261846933330588</v>
      </c>
      <c r="AE8" s="23">
        <f t="array" ref="AE8:AG8">FLEXCOMPBIAXT2($B$4,$B$5,$B$6,$B$15,$B$16,$B$17,$B$18,$B$19,$B$20,$B$11,$B$12,$B$13,$B$7,$B$8,AC8,AD8,$B$3,$B$14)</f>
        <v>-220.55355822690936</v>
      </c>
      <c r="AF8" s="23">
        <v>2633.9566025376566</v>
      </c>
      <c r="AG8" s="23">
        <v>1323.4526913949535</v>
      </c>
      <c r="AI8" s="23">
        <v>50</v>
      </c>
      <c r="AJ8" s="23">
        <f t="shared" si="1"/>
        <v>25.975406650866717</v>
      </c>
      <c r="AK8" s="23">
        <f t="array" ref="AK8:AM8">FLEXCOMPBIAXT2($B$4,$B$5,$B$6,$B$15,$B$16,$B$17,$B$18,$B$19,$B$20,$B$11,$B$12,$B$13,$B$7,$B$8,AI8,AJ8,$B$3,$B$14)</f>
        <v>-112.77958093650034</v>
      </c>
      <c r="AL8" s="23">
        <v>3359.8930021841547</v>
      </c>
      <c r="AM8" s="23">
        <v>1727.0420404332729</v>
      </c>
      <c r="AO8" s="23">
        <v>-20.694264032389995</v>
      </c>
      <c r="AP8" s="23">
        <v>3860.4273709748049</v>
      </c>
      <c r="AQ8" s="23">
        <v>-915.02881655195802</v>
      </c>
      <c r="AR8" s="23">
        <f t="shared" si="3"/>
        <v>3614.8476163425221</v>
      </c>
    </row>
    <row r="9" spans="1:44" x14ac:dyDescent="0.2">
      <c r="A9" s="11" t="s">
        <v>18</v>
      </c>
      <c r="B9" s="12">
        <v>78.997998834095171</v>
      </c>
      <c r="C9" s="13"/>
      <c r="D9" s="13"/>
      <c r="E9" s="13"/>
      <c r="F9" s="13"/>
      <c r="G9" s="13"/>
      <c r="H9" s="13"/>
      <c r="I9" s="26">
        <v>-193.47468566894531</v>
      </c>
      <c r="J9" s="26">
        <v>1899.5633544921875</v>
      </c>
      <c r="K9" s="26">
        <v>746.16998291015625</v>
      </c>
      <c r="L9" s="7">
        <f t="shared" ref="L9" si="4">J9*COS($X$6)+K9*SIN($X$6)</f>
        <v>1094.9746675612448</v>
      </c>
      <c r="M9" s="7">
        <f>SQRT(I9^2+J9^2+K9^2)</f>
        <v>2050.0104963439703</v>
      </c>
      <c r="N9" s="13"/>
      <c r="O9" s="13"/>
      <c r="P9" s="14"/>
      <c r="Q9" s="22">
        <v>-192.93278503417969</v>
      </c>
      <c r="R9" s="22">
        <v>1502.942626953125</v>
      </c>
      <c r="S9" s="22">
        <v>26.592620849609375</v>
      </c>
      <c r="T9" s="23" t="s">
        <v>206</v>
      </c>
      <c r="U9" s="23">
        <f t="shared" si="2"/>
        <v>1480.3943437087494</v>
      </c>
      <c r="W9" s="3" t="s">
        <v>48</v>
      </c>
      <c r="X9" s="5">
        <f t="array" ref="X9:X11">MOMENTSPOLY(A45:B53)</f>
        <v>2425</v>
      </c>
      <c r="Z9" s="3" t="s">
        <v>49</v>
      </c>
      <c r="AA9" s="5">
        <f ca="1">SUM(OFFSET($AI$45,0,0,COUNT($AI$45:$AI$72)))</f>
        <v>642.75579798481044</v>
      </c>
      <c r="AC9" s="23">
        <v>60</v>
      </c>
      <c r="AD9" s="23">
        <f t="shared" si="0"/>
        <v>44.197879570546164</v>
      </c>
      <c r="AE9" s="23">
        <f t="array" ref="AE9:AG9">FLEXCOMPBIAXT2($B$4,$B$5,$B$6,$B$15,$B$16,$B$17,$B$18,$B$19,$B$20,$B$11,$B$12,$B$13,$B$7,$B$8,AC9,AD9,$B$3,$B$14)</f>
        <v>-220.52680821234014</v>
      </c>
      <c r="AF9" s="23">
        <v>2752.2295937702334</v>
      </c>
      <c r="AG9" s="23">
        <v>1019.1794266893993</v>
      </c>
      <c r="AI9" s="23">
        <v>60</v>
      </c>
      <c r="AJ9" s="23">
        <f t="shared" si="1"/>
        <v>31.758032642291013</v>
      </c>
      <c r="AK9" s="23">
        <f t="array" ref="AK9:AM9">FLEXCOMPBIAXT2($B$4,$B$5,$B$6,$B$15,$B$16,$B$17,$B$18,$B$19,$B$20,$B$11,$B$12,$B$13,$B$7,$B$8,AI9,AJ9,$B$3,$B$14)</f>
        <v>-112.74821910697123</v>
      </c>
      <c r="AL9" s="23">
        <v>3554.5546116913138</v>
      </c>
      <c r="AM9" s="23">
        <v>844.57720921821181</v>
      </c>
      <c r="AO9" s="23">
        <v>-83.631788662688635</v>
      </c>
      <c r="AP9" s="23">
        <v>3619.1241859335241</v>
      </c>
      <c r="AQ9" s="23">
        <v>-430.88838066949211</v>
      </c>
      <c r="AR9" s="23">
        <f t="shared" si="3"/>
        <v>3470.3744077331116</v>
      </c>
    </row>
    <row r="10" spans="1:44" x14ac:dyDescent="0.2">
      <c r="A10" s="11" t="s">
        <v>35</v>
      </c>
      <c r="B10" s="12">
        <v>33.666437367422368</v>
      </c>
      <c r="C10" s="13"/>
      <c r="D10" s="13"/>
      <c r="E10" s="13"/>
      <c r="F10" s="13"/>
      <c r="G10" s="13"/>
      <c r="H10" s="13"/>
      <c r="I10" s="27">
        <f>I9/M9</f>
        <v>-9.4377412220079809E-2</v>
      </c>
      <c r="J10" s="27">
        <f>J9/M9</f>
        <v>0.92661152607750386</v>
      </c>
      <c r="K10" s="27">
        <f>K9/M9</f>
        <v>0.36398349386058787</v>
      </c>
      <c r="L10" s="13"/>
      <c r="M10" s="13"/>
      <c r="N10" s="13"/>
      <c r="O10" s="13"/>
      <c r="P10" s="14"/>
      <c r="Q10" s="22">
        <v>-193.12612915039063</v>
      </c>
      <c r="R10" s="22">
        <v>1501.9039306640625</v>
      </c>
      <c r="S10" s="22">
        <v>27.013982772827148</v>
      </c>
      <c r="T10" s="23" t="s">
        <v>129</v>
      </c>
      <c r="U10" s="23">
        <f t="shared" si="2"/>
        <v>1479.4551522106403</v>
      </c>
      <c r="W10" s="3" t="s">
        <v>50</v>
      </c>
      <c r="X10" s="5">
        <v>50562.5</v>
      </c>
      <c r="Z10" s="3" t="s">
        <v>51</v>
      </c>
      <c r="AA10" s="5">
        <f ca="1">0.8*X2*(X8*(X9-X12)-B5*X12)</f>
        <v>-330.202659737977</v>
      </c>
      <c r="AC10" s="23">
        <v>70</v>
      </c>
      <c r="AD10" s="23">
        <f t="shared" si="0"/>
        <v>48.592468595244171</v>
      </c>
      <c r="AE10" s="23">
        <f t="array" ref="AE10:AG10">FLEXCOMPBIAXT2($B$4,$B$5,$B$6,$B$15,$B$16,$B$17,$B$18,$B$19,$B$20,$B$11,$B$12,$B$13,$B$7,$B$8,AC10,AD10,$B$3,$B$14)</f>
        <v>-220.51484521400931</v>
      </c>
      <c r="AF10" s="23">
        <v>2829.0972728774923</v>
      </c>
      <c r="AG10" s="23">
        <v>652.19270860216943</v>
      </c>
      <c r="AI10" s="23">
        <v>70</v>
      </c>
      <c r="AJ10" s="23">
        <f t="shared" si="1"/>
        <v>36.585354151578613</v>
      </c>
      <c r="AK10" s="23">
        <f t="array" ref="AK10:AM10">FLEXCOMPBIAXT2($B$4,$B$5,$B$6,$B$15,$B$16,$B$17,$B$18,$B$19,$B$20,$B$11,$B$12,$B$13,$B$7,$B$8,AI10,AJ10,$B$3,$B$14)</f>
        <v>-112.79203076706007</v>
      </c>
      <c r="AL10" s="23">
        <v>3536.7377842249339</v>
      </c>
      <c r="AM10" s="23">
        <v>206.60473626616439</v>
      </c>
      <c r="AO10" s="23">
        <v>-112.94396842399729</v>
      </c>
      <c r="AP10" s="23">
        <v>3429.217244798685</v>
      </c>
      <c r="AQ10" s="23">
        <v>-220.08979407005705</v>
      </c>
      <c r="AR10" s="23">
        <f t="shared" si="3"/>
        <v>3324.1873515030402</v>
      </c>
    </row>
    <row r="11" spans="1:44" x14ac:dyDescent="0.2">
      <c r="A11" s="11" t="s">
        <v>9</v>
      </c>
      <c r="B11" s="12">
        <v>2</v>
      </c>
      <c r="C11" s="13"/>
      <c r="D11" s="13"/>
      <c r="E11" s="13"/>
      <c r="F11" s="13"/>
      <c r="G11" s="13"/>
      <c r="H11" s="13"/>
      <c r="I11" s="24"/>
      <c r="J11" s="13"/>
      <c r="K11" s="13"/>
      <c r="L11" s="13"/>
      <c r="M11" s="13"/>
      <c r="N11" s="13"/>
      <c r="O11" s="13"/>
      <c r="P11" s="14"/>
      <c r="Q11" s="22">
        <v>-193.28498840332031</v>
      </c>
      <c r="R11" s="22">
        <v>1500.7325439453125</v>
      </c>
      <c r="S11" s="22">
        <v>25.492536544799805</v>
      </c>
      <c r="T11" s="23" t="s">
        <v>201</v>
      </c>
      <c r="U11" s="23">
        <f t="shared" si="2"/>
        <v>1478.0149371832028</v>
      </c>
      <c r="W11" s="3" t="s">
        <v>55</v>
      </c>
      <c r="X11" s="5">
        <v>95562.5</v>
      </c>
      <c r="Z11" s="3" t="s">
        <v>56</v>
      </c>
      <c r="AA11" s="5">
        <f t="array" aca="1" ref="AA11:AA13" ca="1">MOMENTSPOLY(OFFSET($H$45,0,0,COUNT($H$45:$H$51),2))</f>
        <v>243.44013604065856</v>
      </c>
      <c r="AC11" s="23">
        <v>80</v>
      </c>
      <c r="AD11" s="23">
        <f t="shared" si="0"/>
        <v>52.111730391703347</v>
      </c>
      <c r="AE11" s="23">
        <f t="array" ref="AE11:AG11">FLEXCOMPBIAXT2($B$4,$B$5,$B$6,$B$15,$B$16,$B$17,$B$18,$B$19,$B$20,$B$11,$B$12,$B$13,$B$7,$B$8,AC11,AD11,$B$3,$B$14)</f>
        <v>-220.55641909211087</v>
      </c>
      <c r="AF11" s="23">
        <v>2897.0127513357115</v>
      </c>
      <c r="AG11" s="23">
        <v>195.94296378642451</v>
      </c>
      <c r="AI11" s="23">
        <v>80</v>
      </c>
      <c r="AJ11" s="23">
        <f t="shared" si="1"/>
        <v>40.218787193647699</v>
      </c>
      <c r="AK11" s="23">
        <f t="array" ref="AK11:AM11">FLEXCOMPBIAXT2($B$4,$B$5,$B$6,$B$15,$B$16,$B$17,$B$18,$B$19,$B$20,$B$11,$B$12,$B$13,$B$7,$B$8,AI11,AJ11,$B$3,$B$14)</f>
        <v>-112.76673316438971</v>
      </c>
      <c r="AL11" s="23">
        <v>3430.9724508847194</v>
      </c>
      <c r="AM11" s="23">
        <v>-271.16900385295344</v>
      </c>
      <c r="AO11" s="23">
        <v>-155.80196109142676</v>
      </c>
      <c r="AP11" s="23">
        <v>3277.0502553867022</v>
      </c>
      <c r="AQ11" s="23">
        <v>-35.470940500754722</v>
      </c>
      <c r="AR11" s="23">
        <f t="shared" si="3"/>
        <v>3210.0503801166406</v>
      </c>
    </row>
    <row r="12" spans="1:44" x14ac:dyDescent="0.2">
      <c r="A12" s="11" t="s">
        <v>10</v>
      </c>
      <c r="B12" s="12">
        <v>2</v>
      </c>
      <c r="C12" s="13"/>
      <c r="D12" s="13"/>
      <c r="E12" s="13"/>
      <c r="F12" s="13"/>
      <c r="G12" s="13"/>
      <c r="H12" s="13"/>
      <c r="I12" s="25" t="s">
        <v>125</v>
      </c>
      <c r="J12" s="13"/>
      <c r="K12" s="13"/>
      <c r="L12" s="13"/>
      <c r="M12" s="13"/>
      <c r="N12" s="13"/>
      <c r="O12" s="13"/>
      <c r="P12" s="14"/>
      <c r="Q12" s="22">
        <v>-192.98037719726563</v>
      </c>
      <c r="R12" s="22">
        <v>1499.5281982421875</v>
      </c>
      <c r="S12" s="22">
        <v>18.138359069824219</v>
      </c>
      <c r="T12" s="23" t="s">
        <v>130</v>
      </c>
      <c r="U12" s="23">
        <f t="shared" si="2"/>
        <v>1475.4292313750625</v>
      </c>
      <c r="W12" s="3" t="s">
        <v>57</v>
      </c>
      <c r="X12" s="5">
        <f t="array" aca="1" ref="X12:X14" ca="1">MOMENTSPUNT(OFFSET($W$45,0,0,COUNT($W$45:$W$72),3))</f>
        <v>50.265482457436704</v>
      </c>
      <c r="Z12" s="3" t="s">
        <v>58</v>
      </c>
      <c r="AA12" s="5">
        <f ca="1"/>
        <v>4100.4340454225485</v>
      </c>
      <c r="AC12" s="23">
        <v>90</v>
      </c>
      <c r="AD12" s="23">
        <f t="shared" si="0"/>
        <v>54.101104736328125</v>
      </c>
      <c r="AE12" s="23">
        <f t="array" ref="AE12:AG12">FLEXCOMPBIAXT2($B$4,$B$5,$B$6,$B$15,$B$16,$B$17,$B$18,$B$19,$B$20,$B$11,$B$12,$B$13,$B$7,$B$8,AC12,AD12,$B$3,$B$14)</f>
        <v>-220.55408323013182</v>
      </c>
      <c r="AF12" s="23">
        <v>2912.6618703012819</v>
      </c>
      <c r="AG12" s="23">
        <v>-233.18919076818213</v>
      </c>
      <c r="AI12" s="23">
        <v>90</v>
      </c>
      <c r="AJ12" s="23">
        <f t="shared" si="1"/>
        <v>41.963043212890625</v>
      </c>
      <c r="AK12" s="23">
        <f t="array" ref="AK12:AM12">FLEXCOMPBIAXT2($B$4,$B$5,$B$6,$B$15,$B$16,$B$17,$B$18,$B$19,$B$20,$B$11,$B$12,$B$13,$B$7,$B$8,AI12,AJ12,$B$3,$B$14)</f>
        <v>-112.75766854977128</v>
      </c>
      <c r="AL12" s="23">
        <v>3411.2509995607693</v>
      </c>
      <c r="AM12" s="23">
        <v>-745.60212209909605</v>
      </c>
      <c r="AO12" s="23">
        <v>-205.52877970055815</v>
      </c>
      <c r="AP12" s="23">
        <v>3002.2614964765185</v>
      </c>
      <c r="AQ12" s="23">
        <v>181.53260117197422</v>
      </c>
      <c r="AR12" s="23">
        <f t="shared" si="3"/>
        <v>2981.7257638942383</v>
      </c>
    </row>
    <row r="13" spans="1:44" x14ac:dyDescent="0.2">
      <c r="A13" s="11" t="s">
        <v>11</v>
      </c>
      <c r="B13" s="12">
        <v>1</v>
      </c>
      <c r="C13" s="13"/>
      <c r="D13" s="13"/>
      <c r="E13" s="13"/>
      <c r="F13" s="13"/>
      <c r="G13" s="13"/>
      <c r="H13" s="13"/>
      <c r="I13" s="6" t="s">
        <v>52</v>
      </c>
      <c r="J13" s="6" t="s">
        <v>53</v>
      </c>
      <c r="K13" s="6" t="s">
        <v>54</v>
      </c>
      <c r="L13" s="13"/>
      <c r="M13" s="6" t="s">
        <v>127</v>
      </c>
      <c r="N13" s="13"/>
      <c r="O13" s="13"/>
      <c r="P13" s="14"/>
      <c r="Q13" s="22">
        <v>-193.08283996582031</v>
      </c>
      <c r="R13" s="22">
        <v>1499.1710205078125</v>
      </c>
      <c r="S13" s="22">
        <v>25.297758102416992</v>
      </c>
      <c r="T13" s="23" t="s">
        <v>131</v>
      </c>
      <c r="U13" s="23">
        <f t="shared" si="2"/>
        <v>1476.4449415799593</v>
      </c>
      <c r="W13" s="3" t="s">
        <v>59</v>
      </c>
      <c r="X13" s="5">
        <f ca="1"/>
        <v>1060.287520586555</v>
      </c>
      <c r="Z13" s="3" t="s">
        <v>60</v>
      </c>
      <c r="AA13" s="5">
        <f ca="1"/>
        <v>-1595.8343424919285</v>
      </c>
      <c r="AC13" s="23">
        <v>100</v>
      </c>
      <c r="AD13" s="23">
        <f t="shared" si="0"/>
        <v>58.669868497238255</v>
      </c>
      <c r="AE13" s="23">
        <f t="array" ref="AE13:AG13">FLEXCOMPBIAXT2($B$4,$B$5,$B$6,$B$15,$B$16,$B$17,$B$18,$B$19,$B$20,$B$11,$B$12,$B$13,$B$7,$B$8,AC13,AD13,$B$3,$B$14)</f>
        <v>-220.54026833154998</v>
      </c>
      <c r="AF13" s="23">
        <v>2828.068950789283</v>
      </c>
      <c r="AG13" s="23">
        <v>-650.80046455668173</v>
      </c>
      <c r="AI13" s="23">
        <v>100</v>
      </c>
      <c r="AJ13" s="23">
        <f t="shared" si="1"/>
        <v>46.091207989451547</v>
      </c>
      <c r="AK13" s="23">
        <f t="array" ref="AK13:AM13">FLEXCOMPBIAXT2($B$4,$B$5,$B$6,$B$15,$B$16,$B$17,$B$18,$B$19,$B$20,$B$11,$B$12,$B$13,$B$7,$B$8,AI13,AJ13,$B$3,$B$14)</f>
        <v>-112.73972838986015</v>
      </c>
      <c r="AL13" s="23">
        <v>3262.381410787591</v>
      </c>
      <c r="AM13" s="23">
        <v>-1198.7048734839871</v>
      </c>
      <c r="AO13" s="23">
        <v>-262.43945739214507</v>
      </c>
      <c r="AP13" s="23">
        <v>2502.6516643257537</v>
      </c>
      <c r="AQ13" s="23">
        <v>422.32335078811121</v>
      </c>
      <c r="AR13" s="23">
        <f t="shared" si="3"/>
        <v>2537.2517979907097</v>
      </c>
    </row>
    <row r="14" spans="1:44" x14ac:dyDescent="0.2">
      <c r="A14" s="11" t="s">
        <v>110</v>
      </c>
      <c r="B14" s="12">
        <v>0</v>
      </c>
      <c r="C14" s="13"/>
      <c r="D14" s="13"/>
      <c r="E14" s="13"/>
      <c r="F14" s="13"/>
      <c r="G14" s="13"/>
      <c r="H14" s="13"/>
      <c r="I14" s="7">
        <f>ROUND(I5/I10-1,3)</f>
        <v>-0.83099999999999996</v>
      </c>
      <c r="J14" s="7">
        <f>ROUND(J5/J10-1,3)</f>
        <v>6.5000000000000002E-2</v>
      </c>
      <c r="K14" s="7">
        <f>ROUND(K5/K10-1,3)</f>
        <v>-1.4370000000000001</v>
      </c>
      <c r="L14" s="13"/>
      <c r="M14" s="7">
        <f>M4/M9</f>
        <v>1.833134279651663</v>
      </c>
      <c r="N14" s="13"/>
      <c r="O14" s="13"/>
      <c r="P14" s="14"/>
      <c r="Q14" s="22">
        <v>-193.27616882324219</v>
      </c>
      <c r="R14" s="22">
        <v>1498.1324462890625</v>
      </c>
      <c r="S14" s="22">
        <v>25.719120025634766</v>
      </c>
      <c r="T14" s="23" t="s">
        <v>202</v>
      </c>
      <c r="U14" s="23">
        <f t="shared" si="2"/>
        <v>1475.5058699085739</v>
      </c>
      <c r="W14" s="3" t="s">
        <v>62</v>
      </c>
      <c r="X14" s="5">
        <f ca="1"/>
        <v>1947.7874452256719</v>
      </c>
      <c r="Z14" s="3" t="s">
        <v>63</v>
      </c>
      <c r="AA14" s="5">
        <f ca="1">AA11*$X$8</f>
        <v>-43.454062926557327</v>
      </c>
      <c r="AC14" s="23">
        <v>110</v>
      </c>
      <c r="AD14" s="23">
        <f t="shared" si="0"/>
        <v>61.532301954642357</v>
      </c>
      <c r="AE14" s="23">
        <f t="array" ref="AE14:AG14">FLEXCOMPBIAXT2($B$4,$B$5,$B$6,$B$15,$B$16,$B$17,$B$18,$B$19,$B$20,$B$11,$B$12,$B$13,$B$7,$B$8,AC14,AD14,$B$3,$B$14)</f>
        <v>-220.54955295402212</v>
      </c>
      <c r="AF14" s="23">
        <v>2694.9033885411395</v>
      </c>
      <c r="AG14" s="23">
        <v>-1062.7370395568589</v>
      </c>
      <c r="AI14" s="23">
        <v>110</v>
      </c>
      <c r="AJ14" s="23">
        <f t="shared" si="1"/>
        <v>48.277441442700095</v>
      </c>
      <c r="AK14" s="23">
        <f t="array" ref="AK14:AM14">FLEXCOMPBIAXT2($B$4,$B$5,$B$6,$B$15,$B$16,$B$17,$B$18,$B$19,$B$20,$B$11,$B$12,$B$13,$B$7,$B$8,AI14,AJ14,$B$3,$B$14)</f>
        <v>-112.78571444651007</v>
      </c>
      <c r="AL14" s="23">
        <v>3139.1778979487976</v>
      </c>
      <c r="AM14" s="23">
        <v>-1511.2185908020763</v>
      </c>
      <c r="AO14" s="23">
        <v>-313.30412543457163</v>
      </c>
      <c r="AP14" s="23">
        <v>1881.1275143481118</v>
      </c>
      <c r="AQ14" s="23">
        <v>333.01653303599016</v>
      </c>
      <c r="AR14" s="23">
        <f t="shared" si="3"/>
        <v>1910.107333574703</v>
      </c>
    </row>
    <row r="15" spans="1:44" x14ac:dyDescent="0.2">
      <c r="A15" s="11" t="s">
        <v>16</v>
      </c>
      <c r="B15" s="67">
        <v>70</v>
      </c>
      <c r="C15" s="13"/>
      <c r="D15" s="13"/>
      <c r="E15" s="13"/>
      <c r="F15" s="13"/>
      <c r="G15" s="13"/>
      <c r="H15" s="13"/>
      <c r="I15" s="24"/>
      <c r="J15" s="13"/>
      <c r="K15" s="13"/>
      <c r="L15" s="13"/>
      <c r="M15" s="13"/>
      <c r="N15" s="13"/>
      <c r="O15" s="13"/>
      <c r="P15" s="14"/>
      <c r="Q15" s="22">
        <v>-192.92431640625</v>
      </c>
      <c r="R15" s="22">
        <v>1496.823486328125</v>
      </c>
      <c r="S15" s="22">
        <v>21.481056213378906</v>
      </c>
      <c r="T15" s="23" t="s">
        <v>205</v>
      </c>
      <c r="U15" s="23">
        <f t="shared" si="2"/>
        <v>1473.4121619522064</v>
      </c>
      <c r="W15" s="3" t="s">
        <v>64</v>
      </c>
      <c r="X15" s="5">
        <f ca="1">(-X11*X8+(B5+X8)*X14)/(-X8*X9+(B5+X8)*X12)</f>
        <v>39.19800326714126</v>
      </c>
      <c r="Z15" s="3" t="s">
        <v>65</v>
      </c>
      <c r="AA15" s="5">
        <f ca="1">AA12*$X$8</f>
        <v>-731.9274542560654</v>
      </c>
      <c r="AC15" s="23">
        <v>120</v>
      </c>
      <c r="AD15" s="23">
        <f t="shared" si="0"/>
        <v>62.482355823770888</v>
      </c>
      <c r="AE15" s="23">
        <f t="array" ref="AE15:AG15">FLEXCOMPBIAXT2($B$4,$B$5,$B$6,$B$15,$B$16,$B$17,$B$18,$B$19,$B$20,$B$11,$B$12,$B$13,$B$7,$B$8,AC15,AD15,$B$3,$B$14)</f>
        <v>-220.53681848958237</v>
      </c>
      <c r="AF15" s="23">
        <v>2482.4731203759143</v>
      </c>
      <c r="AG15" s="23">
        <v>-1503.6025502310822</v>
      </c>
      <c r="AI15" s="23">
        <v>120</v>
      </c>
      <c r="AJ15" s="23">
        <f t="shared" si="1"/>
        <v>48.386352966041571</v>
      </c>
      <c r="AK15" s="23">
        <f t="array" ref="AK15:AM15">FLEXCOMPBIAXT2($B$4,$B$5,$B$6,$B$15,$B$16,$B$17,$B$18,$B$19,$B$20,$B$11,$B$12,$B$13,$B$7,$B$8,AI15,AJ15,$B$3,$B$14)</f>
        <v>-112.76474015375459</v>
      </c>
      <c r="AL15" s="23">
        <v>3051.6750352524759</v>
      </c>
      <c r="AM15" s="23">
        <v>-1736.1489265254934</v>
      </c>
      <c r="AO15" s="23">
        <v>-330.20265973797694</v>
      </c>
      <c r="AP15" s="23">
        <v>1305.1227213165432</v>
      </c>
      <c r="AQ15" s="23">
        <v>216.76147403579665</v>
      </c>
      <c r="AR15" s="23">
        <f t="shared" si="3"/>
        <v>1322.5027131616214</v>
      </c>
    </row>
    <row r="16" spans="1:44" x14ac:dyDescent="0.2">
      <c r="A16" s="11" t="s">
        <v>17</v>
      </c>
      <c r="B16" s="67">
        <v>55</v>
      </c>
      <c r="C16" s="13"/>
      <c r="D16" s="13"/>
      <c r="E16" s="13"/>
      <c r="F16" s="13"/>
      <c r="G16" s="13"/>
      <c r="H16" s="13"/>
      <c r="I16" s="24"/>
      <c r="J16" s="13"/>
      <c r="K16" s="13"/>
      <c r="L16" s="13"/>
      <c r="M16" s="13"/>
      <c r="N16" s="13"/>
      <c r="O16" s="13"/>
      <c r="P16" s="14"/>
      <c r="Q16" s="22">
        <v>-192.87625122070313</v>
      </c>
      <c r="R16" s="22">
        <v>1496.6875</v>
      </c>
      <c r="S16" s="22">
        <v>16.033361434936523</v>
      </c>
      <c r="T16" s="23" t="s">
        <v>132</v>
      </c>
      <c r="U16" s="23">
        <f t="shared" si="2"/>
        <v>1472.2390190396718</v>
      </c>
      <c r="W16" s="3" t="s">
        <v>66</v>
      </c>
      <c r="X16" s="5">
        <f ca="1">(-X10*X8+(B5+X8)*X13)/(-X8*X9+(B5+X8)*X12)</f>
        <v>20.927944869268792</v>
      </c>
      <c r="Z16" s="3" t="s">
        <v>67</v>
      </c>
      <c r="AA16" s="5">
        <f ca="1">AA13*$X$8</f>
        <v>284.8564212411697</v>
      </c>
      <c r="AC16" s="23">
        <v>130</v>
      </c>
      <c r="AD16" s="23">
        <f t="shared" si="0"/>
        <v>61.092633896305287</v>
      </c>
      <c r="AE16" s="23">
        <f t="array" ref="AE16:AG16">FLEXCOMPBIAXT2($B$4,$B$5,$B$6,$B$15,$B$16,$B$17,$B$18,$B$19,$B$20,$B$11,$B$12,$B$13,$B$7,$B$8,AC16,AD16,$B$3,$B$14)</f>
        <v>-220.55623950811366</v>
      </c>
      <c r="AF16" s="23">
        <v>2217.5108611359465</v>
      </c>
      <c r="AG16" s="23">
        <v>-1913.5344104867904</v>
      </c>
      <c r="AI16" s="23">
        <v>130</v>
      </c>
      <c r="AJ16" s="23">
        <f t="shared" si="1"/>
        <v>46.713028054597856</v>
      </c>
      <c r="AK16" s="23">
        <f t="array" ref="AK16:AM16">FLEXCOMPBIAXT2($B$4,$B$5,$B$6,$B$15,$B$16,$B$17,$B$18,$B$19,$B$20,$B$11,$B$12,$B$13,$B$7,$B$8,AI16,AJ16,$B$3,$B$14)</f>
        <v>-112.74672217899169</v>
      </c>
      <c r="AL16" s="23">
        <v>2966.9441707094288</v>
      </c>
      <c r="AM16" s="23">
        <v>-1959.6472152565755</v>
      </c>
      <c r="AO16" s="23">
        <v>-330.20265973797694</v>
      </c>
      <c r="AP16" s="23">
        <v>-4.1934171882140142E-13</v>
      </c>
      <c r="AQ16" s="23">
        <v>6.6765432253194212E-13</v>
      </c>
      <c r="AR16" s="23">
        <f t="shared" si="3"/>
        <v>-2.8421709430404007E-13</v>
      </c>
    </row>
    <row r="17" spans="1:44" x14ac:dyDescent="0.2">
      <c r="A17" s="11" t="s">
        <v>113</v>
      </c>
      <c r="B17" s="67">
        <v>25</v>
      </c>
      <c r="C17" s="13"/>
      <c r="D17" s="13"/>
      <c r="E17" s="13"/>
      <c r="F17" s="13"/>
      <c r="G17" s="13"/>
      <c r="H17" s="13"/>
      <c r="I17" s="25" t="s">
        <v>68</v>
      </c>
      <c r="J17" s="13"/>
      <c r="K17" s="13"/>
      <c r="L17" s="13"/>
      <c r="M17" s="28" t="s">
        <v>61</v>
      </c>
      <c r="N17" s="13"/>
      <c r="O17" s="13"/>
      <c r="Q17" s="22">
        <v>-114.10828399658203</v>
      </c>
      <c r="R17" s="22">
        <v>-1057.4520263671875</v>
      </c>
      <c r="S17" s="22">
        <v>1156.1134033203125</v>
      </c>
      <c r="T17" s="23" t="s">
        <v>207</v>
      </c>
      <c r="U17" s="23">
        <f t="shared" si="2"/>
        <v>-817.38013188008938</v>
      </c>
      <c r="W17" s="3" t="s">
        <v>69</v>
      </c>
      <c r="X17" s="5">
        <f>IF(B4&lt;=B10,0.85,IF(B4&gt;=2*B10,0.65,0.85-(0.85-0.65)*(B4/B10-1)))</f>
        <v>0.85</v>
      </c>
      <c r="Z17" s="3" t="s">
        <v>70</v>
      </c>
      <c r="AA17" s="5">
        <f ca="1">AA14+AA7</f>
        <v>-12.130162663160117</v>
      </c>
      <c r="AC17" s="23">
        <v>140</v>
      </c>
      <c r="AD17" s="23">
        <f t="shared" si="0"/>
        <v>57.268949856502488</v>
      </c>
      <c r="AE17" s="23">
        <f t="array" ref="AE17:AG17">FLEXCOMPBIAXT2($B$4,$B$5,$B$6,$B$15,$B$16,$B$17,$B$18,$B$19,$B$20,$B$11,$B$12,$B$13,$B$7,$B$8,AC17,AD17,$B$3,$B$14)</f>
        <v>-220.53892904817454</v>
      </c>
      <c r="AF17" s="23">
        <v>1955.8951127937769</v>
      </c>
      <c r="AG17" s="23">
        <v>-2238.3754446073094</v>
      </c>
      <c r="AI17" s="23">
        <v>140</v>
      </c>
      <c r="AJ17" s="23">
        <f t="shared" si="1"/>
        <v>43.442678625378747</v>
      </c>
      <c r="AK17" s="23">
        <f t="array" ref="AK17:AM17">FLEXCOMPBIAXT2($B$4,$B$5,$B$6,$B$15,$B$16,$B$17,$B$18,$B$19,$B$20,$B$11,$B$12,$B$13,$B$7,$B$8,AI17,AJ17,$B$3,$B$14)</f>
        <v>-112.78999549131031</v>
      </c>
      <c r="AL17" s="23">
        <v>2863.544080215584</v>
      </c>
      <c r="AM17" s="23">
        <v>-2209.2987669620748</v>
      </c>
      <c r="AO17" s="23">
        <f t="array" ref="AO17:AQ30">DIAGRAFLEXCOMPT2(B4,B5,B6,B15,B16,B17,B18,B19,B20,B11,B12,B13,B7,B8,B9+180,B3,B14)</f>
        <v>190.00351506046883</v>
      </c>
      <c r="AP17" s="23">
        <v>-85.122195515413679</v>
      </c>
      <c r="AQ17" s="23">
        <v>-31.503557653989215</v>
      </c>
      <c r="AR17" s="23">
        <f t="shared" si="3"/>
        <v>-89.569935985362591</v>
      </c>
    </row>
    <row r="18" spans="1:44" x14ac:dyDescent="0.2">
      <c r="A18" s="11" t="s">
        <v>114</v>
      </c>
      <c r="B18" s="67">
        <v>30</v>
      </c>
      <c r="C18" s="13"/>
      <c r="D18" s="13"/>
      <c r="E18" s="13"/>
      <c r="F18" s="13"/>
      <c r="G18" s="13"/>
      <c r="H18" s="13"/>
      <c r="I18" s="24"/>
      <c r="J18" s="13"/>
      <c r="K18" s="13"/>
      <c r="L18" s="13"/>
      <c r="M18" s="29" t="s">
        <v>12</v>
      </c>
      <c r="N18" s="30"/>
      <c r="O18" s="2" t="s">
        <v>21</v>
      </c>
      <c r="Q18" s="22">
        <v>-193.32376098632813</v>
      </c>
      <c r="R18" s="22">
        <v>1494.718017578125</v>
      </c>
      <c r="S18" s="22">
        <v>17.264860153198242</v>
      </c>
      <c r="T18" s="23" t="s">
        <v>133</v>
      </c>
      <c r="U18" s="23">
        <f t="shared" si="2"/>
        <v>1470.5407579388916</v>
      </c>
      <c r="W18" s="3" t="s">
        <v>71</v>
      </c>
      <c r="X18" s="5">
        <f ca="1">MAX(F45:F53)</f>
        <v>38.300472247342306</v>
      </c>
      <c r="Z18" s="3" t="s">
        <v>72</v>
      </c>
      <c r="AA18" s="5">
        <f ca="1">AA15+AA8</f>
        <v>-3145.3208219329517</v>
      </c>
      <c r="AC18" s="23">
        <v>150</v>
      </c>
      <c r="AD18" s="23">
        <f t="shared" si="0"/>
        <v>51.759452095802303</v>
      </c>
      <c r="AE18" s="23">
        <f t="array" ref="AE18:AG18">FLEXCOMPBIAXT2($B$4,$B$5,$B$6,$B$15,$B$16,$B$17,$B$18,$B$19,$B$20,$B$11,$B$12,$B$13,$B$7,$B$8,AC18,AD18,$B$3,$B$14)</f>
        <v>-220.51502262161628</v>
      </c>
      <c r="AF18" s="23">
        <v>1722.5171984951364</v>
      </c>
      <c r="AG18" s="23">
        <v>-2496.7201330758448</v>
      </c>
      <c r="AI18" s="23">
        <v>150</v>
      </c>
      <c r="AJ18" s="23">
        <f t="shared" si="1"/>
        <v>37.789249361756205</v>
      </c>
      <c r="AK18" s="23">
        <f t="array" ref="AK18:AM18">FLEXCOMPBIAXT2($B$4,$B$5,$B$6,$B$15,$B$16,$B$17,$B$18,$B$19,$B$20,$B$11,$B$12,$B$13,$B$7,$B$8,AI18,AJ18,$B$3,$B$14)</f>
        <v>-112.76650677046534</v>
      </c>
      <c r="AL18" s="23">
        <v>2856.4283205925017</v>
      </c>
      <c r="AM18" s="23">
        <v>-2608.6516755363486</v>
      </c>
      <c r="AO18" s="23">
        <v>161.04328133786902</v>
      </c>
      <c r="AP18" s="23">
        <v>-776.61703722148127</v>
      </c>
      <c r="AQ18" s="23">
        <v>-237.1721451793409</v>
      </c>
      <c r="AR18" s="23">
        <f t="shared" si="3"/>
        <v>-807.60592896083779</v>
      </c>
    </row>
    <row r="19" spans="1:44" x14ac:dyDescent="0.2">
      <c r="A19" s="11" t="s">
        <v>115</v>
      </c>
      <c r="B19" s="67">
        <v>30</v>
      </c>
      <c r="C19" s="13"/>
      <c r="D19" s="13"/>
      <c r="E19" s="13"/>
      <c r="F19" s="13"/>
      <c r="G19" s="13"/>
      <c r="H19" s="13"/>
      <c r="I19" s="24"/>
      <c r="J19" s="13"/>
      <c r="K19" s="13"/>
      <c r="L19" s="13"/>
      <c r="M19" s="13"/>
      <c r="N19" s="13"/>
      <c r="O19" s="13"/>
      <c r="P19" s="14"/>
      <c r="Q19" s="22">
        <v>-193.02825927734375</v>
      </c>
      <c r="R19" s="22">
        <v>1493.7489013671875</v>
      </c>
      <c r="S19" s="22">
        <v>10.07670783996582</v>
      </c>
      <c r="T19" s="23" t="s">
        <v>198</v>
      </c>
      <c r="U19" s="23">
        <f t="shared" si="2"/>
        <v>1468.2176430133438</v>
      </c>
      <c r="W19" s="3" t="s">
        <v>17</v>
      </c>
      <c r="X19" s="5">
        <f ca="1">X18-MIN(F45:F53)</f>
        <v>72.530301903061229</v>
      </c>
      <c r="Z19" s="3" t="s">
        <v>73</v>
      </c>
      <c r="AA19" s="5">
        <f ca="1">AA16+AA9</f>
        <v>927.6122192259802</v>
      </c>
      <c r="AC19" s="23">
        <v>160</v>
      </c>
      <c r="AD19" s="23">
        <f t="shared" si="0"/>
        <v>44.866694041628875</v>
      </c>
      <c r="AE19" s="23">
        <f t="array" ref="AE19:AG19">FLEXCOMPBIAXT2($B$4,$B$5,$B$6,$B$15,$B$16,$B$17,$B$18,$B$19,$B$20,$B$11,$B$12,$B$13,$B$7,$B$8,AC19,AD19,$B$3,$B$14)</f>
        <v>-220.52931590281992</v>
      </c>
      <c r="AF19" s="23">
        <v>1495.1415865327997</v>
      </c>
      <c r="AG19" s="23">
        <v>-2733.2615592473212</v>
      </c>
      <c r="AI19" s="23">
        <v>160</v>
      </c>
      <c r="AJ19" s="23">
        <f t="shared" si="1"/>
        <v>30.080724482130648</v>
      </c>
      <c r="AK19" s="23">
        <f t="array" ref="AK19:AM19">FLEXCOMPBIAXT2($B$4,$B$5,$B$6,$B$15,$B$16,$B$17,$B$18,$B$19,$B$20,$B$11,$B$12,$B$13,$B$7,$B$8,AI19,AJ19,$B$3,$B$14)</f>
        <v>-112.77177662134078</v>
      </c>
      <c r="AL19" s="23">
        <v>2918.0324587389923</v>
      </c>
      <c r="AM19" s="23">
        <v>-3177.9382762061105</v>
      </c>
      <c r="AO19" s="23">
        <v>90.428542367269529</v>
      </c>
      <c r="AP19" s="23">
        <v>-2393.7678355528801</v>
      </c>
      <c r="AQ19" s="23">
        <v>-547.12970595131731</v>
      </c>
      <c r="AR19" s="23">
        <f t="shared" si="3"/>
        <v>-2454.1876517821438</v>
      </c>
    </row>
    <row r="20" spans="1:44" x14ac:dyDescent="0.2">
      <c r="A20" s="11" t="s">
        <v>116</v>
      </c>
      <c r="B20" s="67">
        <v>20</v>
      </c>
      <c r="C20" s="13"/>
      <c r="D20" s="13"/>
      <c r="E20" s="13"/>
      <c r="F20" s="13"/>
      <c r="G20" s="13"/>
      <c r="H20" s="13"/>
      <c r="I20" s="29" t="s">
        <v>74</v>
      </c>
      <c r="J20" s="30"/>
      <c r="K20" s="31" t="s">
        <v>117</v>
      </c>
      <c r="L20" s="32"/>
      <c r="M20" s="33"/>
      <c r="N20" s="13"/>
      <c r="O20" s="13"/>
      <c r="P20" s="14"/>
      <c r="Q20" s="22">
        <v>-193.18208312988281</v>
      </c>
      <c r="R20" s="22">
        <v>1493.212646484375</v>
      </c>
      <c r="S20" s="22">
        <v>20.825349807739258</v>
      </c>
      <c r="T20" s="23" t="s">
        <v>203</v>
      </c>
      <c r="U20" s="23">
        <f t="shared" si="2"/>
        <v>1469.7425503111624</v>
      </c>
      <c r="W20" s="3" t="s">
        <v>76</v>
      </c>
      <c r="X20" s="5">
        <f ca="1">MIN(IF(B10&lt;=0,0,X17*B10),X19)</f>
        <v>28.616471762309011</v>
      </c>
      <c r="Z20" s="3" t="s">
        <v>77</v>
      </c>
      <c r="AA20" s="5">
        <f ca="1">-AA18*COS(X6)-AA19*SIN(X6)</f>
        <v>-310.29984373639593</v>
      </c>
      <c r="AC20" s="23">
        <v>170</v>
      </c>
      <c r="AD20" s="23">
        <f t="shared" si="0"/>
        <v>36.772084451816369</v>
      </c>
      <c r="AE20" s="23">
        <f t="array" ref="AE20:AG20">FLEXCOMPBIAXT2($B$4,$B$5,$B$6,$B$15,$B$16,$B$17,$B$18,$B$19,$B$20,$B$11,$B$12,$B$13,$B$7,$B$8,AC20,AD20,$B$3,$B$14)</f>
        <v>-220.55405215573444</v>
      </c>
      <c r="AF20" s="23">
        <v>1211.3687318877373</v>
      </c>
      <c r="AG20" s="23">
        <v>-2994.4347266717132</v>
      </c>
      <c r="AI20" s="23">
        <v>170</v>
      </c>
      <c r="AJ20" s="23">
        <f t="shared" si="1"/>
        <v>22.031362022119097</v>
      </c>
      <c r="AK20" s="23">
        <f t="array" ref="AK20:AM20">FLEXCOMPBIAXT2($B$4,$B$5,$B$6,$B$15,$B$16,$B$17,$B$18,$B$19,$B$20,$B$11,$B$12,$B$13,$B$7,$B$8,AI20,AJ20,$B$3,$B$14)</f>
        <v>-112.8103083358923</v>
      </c>
      <c r="AL20" s="23">
        <v>2644.0824954806903</v>
      </c>
      <c r="AM20" s="23">
        <v>-3886.6108494966097</v>
      </c>
      <c r="AO20" s="23">
        <v>37.819404981125302</v>
      </c>
      <c r="AP20" s="23">
        <v>-3365.6328900526009</v>
      </c>
      <c r="AQ20" s="23">
        <v>-722.64335157430435</v>
      </c>
      <c r="AR20" s="23">
        <f t="shared" si="3"/>
        <v>-3441.6859303697124</v>
      </c>
    </row>
    <row r="21" spans="1:44" x14ac:dyDescent="0.2">
      <c r="A21" s="34"/>
      <c r="B21" s="35"/>
      <c r="C21" s="35"/>
      <c r="D21" s="35"/>
      <c r="E21" s="35"/>
      <c r="F21" s="35"/>
      <c r="G21" s="35"/>
      <c r="H21" s="35"/>
      <c r="I21" s="29" t="s">
        <v>78</v>
      </c>
      <c r="J21" s="30"/>
      <c r="K21" s="36">
        <v>20</v>
      </c>
      <c r="L21" s="35"/>
      <c r="M21" s="35"/>
      <c r="N21" s="35"/>
      <c r="O21" s="35"/>
      <c r="P21" s="37"/>
      <c r="Q21" s="22">
        <v>-192.88658142089844</v>
      </c>
      <c r="R21" s="22">
        <v>1492.2435302734375</v>
      </c>
      <c r="S21" s="22">
        <v>13.63719654083252</v>
      </c>
      <c r="T21" s="23" t="s">
        <v>134</v>
      </c>
      <c r="U21" s="23">
        <f t="shared" si="2"/>
        <v>1467.4194352036122</v>
      </c>
      <c r="W21" s="3" t="s">
        <v>79</v>
      </c>
      <c r="X21" s="5">
        <f ca="1">X18-X20</f>
        <v>9.6840004850332946</v>
      </c>
      <c r="Z21" s="3" t="s">
        <v>80</v>
      </c>
      <c r="AA21" s="5">
        <f ca="1">-AA18*SIN(X6)+AA19*COS(X6)</f>
        <v>3264.5400149361772</v>
      </c>
      <c r="AC21" s="23">
        <v>180</v>
      </c>
      <c r="AD21" s="23">
        <f t="shared" si="0"/>
        <v>24.461135864257813</v>
      </c>
      <c r="AE21" s="23">
        <f t="array" ref="AE21:AG21">FLEXCOMPBIAXT2($B$4,$B$5,$B$6,$B$15,$B$16,$B$17,$B$18,$B$19,$B$20,$B$11,$B$12,$B$13,$B$7,$B$8,AC21,AD21,$B$3,$B$14)</f>
        <v>-220.53668966545447</v>
      </c>
      <c r="AF21" s="23">
        <v>1221.608763303037</v>
      </c>
      <c r="AG21" s="23">
        <v>-3766.0055731071125</v>
      </c>
      <c r="AI21" s="23">
        <v>180</v>
      </c>
      <c r="AJ21" s="23">
        <f t="shared" si="1"/>
        <v>15.190963745117188</v>
      </c>
      <c r="AK21" s="23">
        <f t="array" ref="AK21:AM21">FLEXCOMPBIAXT2($B$4,$B$5,$B$6,$B$15,$B$16,$B$17,$B$18,$B$19,$B$20,$B$11,$B$12,$B$13,$B$7,$B$8,AI21,AJ21,$B$3,$B$14)</f>
        <v>-112.77175204313383</v>
      </c>
      <c r="AL21" s="23">
        <v>1208.5842276825724</v>
      </c>
      <c r="AM21" s="23">
        <v>-3975.5198894664709</v>
      </c>
      <c r="AO21" s="23">
        <v>-24.928307994989737</v>
      </c>
      <c r="AP21" s="23">
        <v>-4253.7678476150186</v>
      </c>
      <c r="AQ21" s="23">
        <v>-879.87038620590545</v>
      </c>
      <c r="AR21" s="23">
        <f t="shared" si="3"/>
        <v>-4343.5031509590572</v>
      </c>
    </row>
    <row r="22" spans="1:44" x14ac:dyDescent="0.2">
      <c r="A22" s="24"/>
      <c r="B22" s="13"/>
      <c r="C22" s="13"/>
      <c r="D22" s="13"/>
      <c r="E22" s="13"/>
      <c r="F22" s="13"/>
      <c r="G22" s="13"/>
      <c r="H22" s="13"/>
      <c r="I22" s="24"/>
      <c r="J22" s="13"/>
      <c r="K22" s="13"/>
      <c r="L22" s="13"/>
      <c r="M22" s="13"/>
      <c r="N22" s="13"/>
      <c r="O22" s="13"/>
      <c r="P22" s="14"/>
      <c r="Q22" s="22">
        <v>-193.33409118652344</v>
      </c>
      <c r="R22" s="22">
        <v>1490.27392578125</v>
      </c>
      <c r="S22" s="22">
        <v>14.868695259094238</v>
      </c>
      <c r="T22" s="23" t="s">
        <v>135</v>
      </c>
      <c r="U22" s="23">
        <f t="shared" si="2"/>
        <v>1465.7210542761086</v>
      </c>
      <c r="Z22" s="3" t="s">
        <v>81</v>
      </c>
      <c r="AA22" s="19">
        <f ca="1">MAX($AA$6*AA17,AA10)</f>
        <v>-8.8355618340938449</v>
      </c>
      <c r="AC22" s="23">
        <v>190</v>
      </c>
      <c r="AD22" s="23">
        <f t="shared" si="0"/>
        <v>33.433711632443405</v>
      </c>
      <c r="AE22" s="23">
        <f t="array" ref="AE22:AG22">FLEXCOMPBIAXT2($B$4,$B$5,$B$6,$B$15,$B$16,$B$17,$B$18,$B$19,$B$20,$B$11,$B$12,$B$13,$B$7,$B$8,AC22,AD22,$B$3,$B$14)</f>
        <v>-220.53112685717863</v>
      </c>
      <c r="AF22" s="23">
        <v>236.5467956923807</v>
      </c>
      <c r="AG22" s="23">
        <v>-2976.4992318967197</v>
      </c>
      <c r="AI22" s="23">
        <v>190</v>
      </c>
      <c r="AJ22" s="23">
        <f t="shared" si="1"/>
        <v>21.673400068968952</v>
      </c>
      <c r="AK22" s="23">
        <f t="array" ref="AK22:AM22">FLEXCOMPBIAXT2($B$4,$B$5,$B$6,$B$15,$B$16,$B$17,$B$18,$B$19,$B$20,$B$11,$B$12,$B$13,$B$7,$B$8,AI22,AJ22,$B$3,$B$14)</f>
        <v>-112.80134534674445</v>
      </c>
      <c r="AL22" s="23">
        <v>-329.83417350741865</v>
      </c>
      <c r="AM22" s="23">
        <v>-3692.548365465097</v>
      </c>
      <c r="AO22" s="23">
        <v>-75.767182206504785</v>
      </c>
      <c r="AP22" s="23">
        <v>-4099.0175919094872</v>
      </c>
      <c r="AQ22" s="23">
        <v>-526.70550620463564</v>
      </c>
      <c r="AR22" s="23">
        <f t="shared" si="3"/>
        <v>-4124.1979804665725</v>
      </c>
    </row>
    <row r="23" spans="1:44" x14ac:dyDescent="0.2">
      <c r="A23" s="24"/>
      <c r="B23" s="13"/>
      <c r="C23" s="13"/>
      <c r="D23" s="13"/>
      <c r="E23" s="13"/>
      <c r="F23" s="13"/>
      <c r="G23" s="13"/>
      <c r="H23" s="13"/>
      <c r="I23" s="24"/>
      <c r="J23" s="13"/>
      <c r="K23" s="13"/>
      <c r="L23" s="13"/>
      <c r="M23" s="13"/>
      <c r="N23" s="13"/>
      <c r="O23" s="13"/>
      <c r="P23" s="14"/>
      <c r="Q23" s="22">
        <v>-193.28602600097656</v>
      </c>
      <c r="R23" s="22">
        <v>1490.1380615234375</v>
      </c>
      <c r="S23" s="22">
        <v>9.4210004806518555</v>
      </c>
      <c r="T23" s="23" t="s">
        <v>196</v>
      </c>
      <c r="U23" s="23">
        <f t="shared" si="2"/>
        <v>1464.5480311902975</v>
      </c>
      <c r="Z23" s="3" t="s">
        <v>82</v>
      </c>
      <c r="AA23" s="19">
        <f ca="1">$AA$6*AA20</f>
        <v>-226.02116167569434</v>
      </c>
      <c r="AC23" s="23">
        <v>200</v>
      </c>
      <c r="AD23" s="23">
        <f t="shared" si="0"/>
        <v>39.369342343372864</v>
      </c>
      <c r="AE23" s="23">
        <f t="array" ref="AE23:AG23">FLEXCOMPBIAXT2($B$4,$B$5,$B$6,$B$15,$B$16,$B$17,$B$18,$B$19,$B$20,$B$11,$B$12,$B$13,$B$7,$B$8,AC23,AD23,$B$3,$B$14)</f>
        <v>-220.53784064880483</v>
      </c>
      <c r="AF23" s="23">
        <v>-548.65515737840383</v>
      </c>
      <c r="AG23" s="23">
        <v>-2558.3411525913439</v>
      </c>
      <c r="AI23" s="23">
        <v>200</v>
      </c>
      <c r="AJ23" s="23">
        <f t="shared" si="1"/>
        <v>28.621640544872978</v>
      </c>
      <c r="AK23" s="23">
        <f t="array" ref="AK23:AM23">FLEXCOMPBIAXT2($B$4,$B$5,$B$6,$B$15,$B$16,$B$17,$B$18,$B$19,$B$20,$B$11,$B$12,$B$13,$B$7,$B$8,AI23,AJ23,$B$3,$B$14)</f>
        <v>-112.74741550850824</v>
      </c>
      <c r="AL23" s="23">
        <v>-1366.4609708235198</v>
      </c>
      <c r="AM23" s="23">
        <v>-2847.7065996305273</v>
      </c>
      <c r="AO23" s="23">
        <v>-137.45057944780424</v>
      </c>
      <c r="AP23" s="23">
        <v>-3737.4061883986228</v>
      </c>
      <c r="AQ23" s="23">
        <v>-83.361678654745887</v>
      </c>
      <c r="AR23" s="23">
        <f t="shared" si="3"/>
        <v>-3684.623616631799</v>
      </c>
    </row>
    <row r="24" spans="1:44" x14ac:dyDescent="0.2">
      <c r="A24" s="24"/>
      <c r="B24" s="13"/>
      <c r="C24" s="13"/>
      <c r="D24" s="13"/>
      <c r="E24" s="13"/>
      <c r="F24" s="13"/>
      <c r="G24" s="13"/>
      <c r="H24" s="13"/>
      <c r="I24" s="24"/>
      <c r="J24" s="13"/>
      <c r="K24" s="13"/>
      <c r="L24" s="13"/>
      <c r="M24" s="13"/>
      <c r="N24" s="13"/>
      <c r="O24" s="13"/>
      <c r="P24" s="14"/>
      <c r="Q24" s="22">
        <v>-192.93417358398438</v>
      </c>
      <c r="R24" s="22">
        <v>1488.8291015625</v>
      </c>
      <c r="S24" s="22">
        <v>5.1829361915588379</v>
      </c>
      <c r="T24" s="23" t="s">
        <v>199</v>
      </c>
      <c r="U24" s="23">
        <f t="shared" si="2"/>
        <v>1462.4543231429288</v>
      </c>
      <c r="Z24" s="3" t="s">
        <v>83</v>
      </c>
      <c r="AA24" s="19">
        <f ca="1">$AA$6*AA21</f>
        <v>2377.8778539749496</v>
      </c>
      <c r="AC24" s="23">
        <v>210</v>
      </c>
      <c r="AD24" s="23">
        <f t="shared" si="0"/>
        <v>44.846460395421133</v>
      </c>
      <c r="AE24" s="23">
        <f t="array" ref="AE24:AG24">FLEXCOMPBIAXT2($B$4,$B$5,$B$6,$B$15,$B$16,$B$17,$B$18,$B$19,$B$20,$B$11,$B$12,$B$13,$B$7,$B$8,AC24,AD24,$B$3,$B$14)</f>
        <v>-220.55406860563704</v>
      </c>
      <c r="AF24" s="23">
        <v>-1172.5658781065633</v>
      </c>
      <c r="AG24" s="23">
        <v>-2145.2848099703306</v>
      </c>
      <c r="AI24" s="23">
        <v>210</v>
      </c>
      <c r="AJ24" s="23">
        <f t="shared" si="1"/>
        <v>33.812602684400062</v>
      </c>
      <c r="AK24" s="23">
        <f t="array" ref="AK24:AM24">FLEXCOMPBIAXT2($B$4,$B$5,$B$6,$B$15,$B$16,$B$17,$B$18,$B$19,$B$20,$B$11,$B$12,$B$13,$B$7,$B$8,AI24,AJ24,$B$3,$B$14)</f>
        <v>-112.76755563000768</v>
      </c>
      <c r="AL24" s="23">
        <v>-2033.6738444536777</v>
      </c>
      <c r="AM24" s="23">
        <v>-2165.3610191144844</v>
      </c>
      <c r="AO24" s="23">
        <v>-162.75817151673704</v>
      </c>
      <c r="AP24" s="23">
        <v>-3498.7079506350742</v>
      </c>
      <c r="AQ24" s="23">
        <v>89.083117777082734</v>
      </c>
      <c r="AR24" s="23">
        <f t="shared" si="3"/>
        <v>-3417.4025980649735</v>
      </c>
    </row>
    <row r="25" spans="1:44" x14ac:dyDescent="0.2">
      <c r="A25" s="24"/>
      <c r="B25" s="13"/>
      <c r="C25" s="13"/>
      <c r="D25" s="13"/>
      <c r="E25" s="13"/>
      <c r="F25" s="13"/>
      <c r="G25" s="13"/>
      <c r="H25" s="13"/>
      <c r="I25" s="24"/>
      <c r="J25" s="13"/>
      <c r="K25" s="13"/>
      <c r="L25" s="13"/>
      <c r="M25" s="13"/>
      <c r="N25" s="13"/>
      <c r="O25" s="13"/>
      <c r="P25" s="14"/>
      <c r="Q25" s="22">
        <v>-193.12751770019531</v>
      </c>
      <c r="R25" s="22">
        <v>1487.79052734375</v>
      </c>
      <c r="S25" s="22">
        <v>5.6043000221252441</v>
      </c>
      <c r="T25" s="23" t="s">
        <v>136</v>
      </c>
      <c r="U25" s="23">
        <f t="shared" si="2"/>
        <v>1461.5152518355483</v>
      </c>
      <c r="AC25" s="23">
        <v>220</v>
      </c>
      <c r="AD25" s="23">
        <f t="shared" si="0"/>
        <v>49.024747945865123</v>
      </c>
      <c r="AE25" s="23">
        <f t="array" ref="AE25:AG25">FLEXCOMPBIAXT2($B$4,$B$5,$B$6,$B$15,$B$16,$B$17,$B$18,$B$19,$B$20,$B$11,$B$12,$B$13,$B$7,$B$8,AC25,AD25,$B$3,$B$14)</f>
        <v>-220.53008630567578</v>
      </c>
      <c r="AF25" s="23">
        <v>-1749.9073532945847</v>
      </c>
      <c r="AG25" s="23">
        <v>-1678.2135803837721</v>
      </c>
      <c r="AI25" s="23">
        <v>220</v>
      </c>
      <c r="AJ25" s="23">
        <f t="shared" si="1"/>
        <v>37.415830078075111</v>
      </c>
      <c r="AK25" s="23">
        <f t="array" ref="AK25:AM25">FLEXCOMPBIAXT2($B$4,$B$5,$B$6,$B$15,$B$16,$B$17,$B$18,$B$19,$B$20,$B$11,$B$12,$B$13,$B$7,$B$8,AI25,AJ25,$B$3,$B$14)</f>
        <v>-112.74310456526835</v>
      </c>
      <c r="AL25" s="23">
        <v>-2376.8408942801539</v>
      </c>
      <c r="AM25" s="23">
        <v>-1690.792027204089</v>
      </c>
      <c r="AO25" s="23">
        <v>-203.69534655726335</v>
      </c>
      <c r="AP25" s="23">
        <v>-3292.5058884932969</v>
      </c>
      <c r="AQ25" s="23">
        <v>257.71082574157953</v>
      </c>
      <c r="AR25" s="23">
        <f t="shared" si="3"/>
        <v>-3182.8089579454881</v>
      </c>
    </row>
    <row r="26" spans="1:44" x14ac:dyDescent="0.2">
      <c r="A26" s="24"/>
      <c r="B26" s="13"/>
      <c r="C26" s="13"/>
      <c r="D26" s="13"/>
      <c r="E26" s="13"/>
      <c r="F26" s="13"/>
      <c r="G26" s="13"/>
      <c r="H26" s="13"/>
      <c r="I26" s="24"/>
      <c r="J26" s="13"/>
      <c r="K26" s="13"/>
      <c r="L26" s="13"/>
      <c r="M26" s="13"/>
      <c r="N26" s="13"/>
      <c r="O26" s="13"/>
      <c r="P26" s="14"/>
      <c r="Q26" s="22">
        <v>-193.22996520996094</v>
      </c>
      <c r="R26" s="22">
        <v>1487.433349609375</v>
      </c>
      <c r="S26" s="22">
        <v>12.763696670532227</v>
      </c>
      <c r="T26" s="23" t="s">
        <v>139</v>
      </c>
      <c r="U26" s="23">
        <f t="shared" si="2"/>
        <v>1462.5309615854392</v>
      </c>
      <c r="AC26" s="23">
        <v>230</v>
      </c>
      <c r="AD26" s="23">
        <f t="shared" si="0"/>
        <v>51.099742649955509</v>
      </c>
      <c r="AE26" s="23">
        <f t="array" ref="AE26:AG26">FLEXCOMPBIAXT2($B$4,$B$5,$B$6,$B$15,$B$16,$B$17,$B$18,$B$19,$B$20,$B$11,$B$12,$B$13,$B$7,$B$8,AC26,AD26,$B$3,$B$14)</f>
        <v>-220.53175197036433</v>
      </c>
      <c r="AF26" s="23">
        <v>-2234.3465484683857</v>
      </c>
      <c r="AG26" s="23">
        <v>-1184.0380650555664</v>
      </c>
      <c r="AI26" s="23">
        <v>230</v>
      </c>
      <c r="AJ26" s="23">
        <f t="shared" si="1"/>
        <v>39.164465786047288</v>
      </c>
      <c r="AK26" s="23">
        <f t="array" ref="AK26:AM26">FLEXCOMPBIAXT2($B$4,$B$5,$B$6,$B$15,$B$16,$B$17,$B$18,$B$19,$B$20,$B$11,$B$12,$B$13,$B$7,$B$8,AI26,AJ26,$B$3,$B$14)</f>
        <v>-112.79579336376636</v>
      </c>
      <c r="AL26" s="23">
        <v>-2696.3310034339197</v>
      </c>
      <c r="AM26" s="23">
        <v>-1350.7515816937557</v>
      </c>
      <c r="AO26" s="23">
        <v>-250.77234098698665</v>
      </c>
      <c r="AP26" s="23">
        <v>-2950.8506101541016</v>
      </c>
      <c r="AQ26" s="23">
        <v>450.28711779325278</v>
      </c>
      <c r="AR26" s="23">
        <f t="shared" si="3"/>
        <v>-2810.6812351628478</v>
      </c>
    </row>
    <row r="27" spans="1:44" x14ac:dyDescent="0.2">
      <c r="A27" s="24"/>
      <c r="B27" s="13"/>
      <c r="C27" s="13"/>
      <c r="D27" s="13"/>
      <c r="E27" s="13"/>
      <c r="F27" s="13"/>
      <c r="G27" s="13"/>
      <c r="H27" s="13"/>
      <c r="I27" s="24"/>
      <c r="J27" s="13"/>
      <c r="K27" s="13"/>
      <c r="L27" s="13"/>
      <c r="M27" s="13"/>
      <c r="N27" s="13"/>
      <c r="O27" s="13"/>
      <c r="P27" s="14"/>
      <c r="Q27" s="22">
        <v>-192.92535400390625</v>
      </c>
      <c r="R27" s="22">
        <v>1486.22900390625</v>
      </c>
      <c r="S27" s="22">
        <v>5.4095206260681152</v>
      </c>
      <c r="T27" s="23" t="s">
        <v>200</v>
      </c>
      <c r="U27" s="23">
        <f t="shared" si="2"/>
        <v>1459.9452560503023</v>
      </c>
      <c r="AC27" s="23">
        <v>240</v>
      </c>
      <c r="AD27" s="23">
        <f t="shared" si="0"/>
        <v>50.896258685760429</v>
      </c>
      <c r="AE27" s="23">
        <f t="array" ref="AE27:AG27">FLEXCOMPBIAXT2($B$4,$B$5,$B$6,$B$15,$B$16,$B$17,$B$18,$B$19,$B$20,$B$11,$B$12,$B$13,$B$7,$B$8,AC27,AD27,$B$3,$B$14)</f>
        <v>-220.50839242019259</v>
      </c>
      <c r="AF27" s="23">
        <v>-2657.2164626669878</v>
      </c>
      <c r="AG27" s="23">
        <v>-644.5082055799661</v>
      </c>
      <c r="AI27" s="23">
        <v>240</v>
      </c>
      <c r="AJ27" s="23">
        <f t="shared" si="1"/>
        <v>39.355132507519585</v>
      </c>
      <c r="AK27" s="23">
        <f t="array" ref="AK27:AM27">FLEXCOMPBIAXT2($B$4,$B$5,$B$6,$B$15,$B$16,$B$17,$B$18,$B$19,$B$20,$B$11,$B$12,$B$13,$B$7,$B$8,AI27,AJ27,$B$3,$B$14)</f>
        <v>-112.76538163169077</v>
      </c>
      <c r="AL27" s="23">
        <v>-2996.3249046850419</v>
      </c>
      <c r="AM27" s="23">
        <v>-1008.5445908490898</v>
      </c>
      <c r="AO27" s="23">
        <v>-297.64909740745213</v>
      </c>
      <c r="AP27" s="23">
        <v>-2452.3370862579673</v>
      </c>
      <c r="AQ27" s="23">
        <v>617.47679977387725</v>
      </c>
      <c r="AR27" s="23">
        <f t="shared" si="3"/>
        <v>-2289.4231039958345</v>
      </c>
    </row>
    <row r="28" spans="1:44" x14ac:dyDescent="0.2">
      <c r="A28" s="24"/>
      <c r="B28" s="13"/>
      <c r="C28" s="13"/>
      <c r="D28" s="13"/>
      <c r="E28" s="13"/>
      <c r="F28" s="13"/>
      <c r="G28" s="13"/>
      <c r="H28" s="13"/>
      <c r="I28" s="24"/>
      <c r="J28" s="13"/>
      <c r="K28" s="13"/>
      <c r="L28" s="13"/>
      <c r="M28" s="13"/>
      <c r="N28" s="13"/>
      <c r="O28" s="13"/>
      <c r="P28" s="14"/>
      <c r="Q28" s="22">
        <v>-193.08421325683594</v>
      </c>
      <c r="R28" s="22">
        <v>1485.0576171875</v>
      </c>
      <c r="S28" s="22">
        <v>3.8880734443664551</v>
      </c>
      <c r="T28" s="23" t="s">
        <v>137</v>
      </c>
      <c r="U28" s="23">
        <f t="shared" si="2"/>
        <v>1458.5050408408622</v>
      </c>
      <c r="AC28" s="23">
        <v>250</v>
      </c>
      <c r="AD28" s="23">
        <f t="shared" si="0"/>
        <v>49.150939034484423</v>
      </c>
      <c r="AE28" s="23">
        <f t="array" ref="AE28:AG28">FLEXCOMPBIAXT2($B$4,$B$5,$B$6,$B$15,$B$16,$B$17,$B$18,$B$19,$B$20,$B$11,$B$12,$B$13,$B$7,$B$8,AC28,AD28,$B$3,$B$14)</f>
        <v>-220.54947820207798</v>
      </c>
      <c r="AF28" s="23">
        <v>-2965.7748241875952</v>
      </c>
      <c r="AG28" s="23">
        <v>-122.15727187347686</v>
      </c>
      <c r="AI28" s="23">
        <v>250</v>
      </c>
      <c r="AJ28" s="23">
        <f t="shared" si="1"/>
        <v>37.256848370188919</v>
      </c>
      <c r="AK28" s="23">
        <f t="array" ref="AK28:AM28">FLEXCOMPBIAXT2($B$4,$B$5,$B$6,$B$15,$B$16,$B$17,$B$18,$B$19,$B$20,$B$11,$B$12,$B$13,$B$7,$B$8,AI28,AJ28,$B$3,$B$14)</f>
        <v>-112.79338878873688</v>
      </c>
      <c r="AL28" s="23">
        <v>-3427.8970024816144</v>
      </c>
      <c r="AM28" s="23">
        <v>-651.21101490645003</v>
      </c>
      <c r="AO28" s="23">
        <v>-330.20265973797694</v>
      </c>
      <c r="AP28" s="23">
        <v>-1860.7733313250951</v>
      </c>
      <c r="AQ28" s="23">
        <v>434.60185090252452</v>
      </c>
      <c r="AR28" s="23">
        <f t="shared" si="3"/>
        <v>-1743.6324393288348</v>
      </c>
    </row>
    <row r="29" spans="1:44" x14ac:dyDescent="0.2">
      <c r="A29" s="24"/>
      <c r="B29" s="13"/>
      <c r="C29" s="13"/>
      <c r="D29" s="13"/>
      <c r="E29" s="13"/>
      <c r="F29" s="13"/>
      <c r="G29" s="13"/>
      <c r="H29" s="13"/>
      <c r="I29" s="24"/>
      <c r="J29" s="13"/>
      <c r="K29" s="13"/>
      <c r="L29" s="13"/>
      <c r="M29" s="13"/>
      <c r="N29" s="13"/>
      <c r="O29" s="13"/>
      <c r="P29" s="14"/>
      <c r="Q29" s="22">
        <v>-193.27755737304688</v>
      </c>
      <c r="R29" s="22">
        <v>1484.0189208984375</v>
      </c>
      <c r="S29" s="22">
        <v>4.3094367980957031</v>
      </c>
      <c r="T29" s="23" t="s">
        <v>195</v>
      </c>
      <c r="U29" s="23">
        <f t="shared" si="2"/>
        <v>1457.5658496157571</v>
      </c>
      <c r="AC29" s="23">
        <v>260</v>
      </c>
      <c r="AD29" s="23">
        <f t="shared" si="0"/>
        <v>45.966380143878609</v>
      </c>
      <c r="AE29" s="23">
        <f t="array" ref="AE29:AG29">FLEXCOMPBIAXT2($B$4,$B$5,$B$6,$B$15,$B$16,$B$17,$B$18,$B$19,$B$20,$B$11,$B$12,$B$13,$B$7,$B$8,AC29,AD29,$B$3,$B$14)</f>
        <v>-220.52248168437211</v>
      </c>
      <c r="AF29" s="23">
        <v>-3208.1925047914133</v>
      </c>
      <c r="AG29" s="23">
        <v>376.58061762916878</v>
      </c>
      <c r="AI29" s="23">
        <v>260</v>
      </c>
      <c r="AJ29" s="23">
        <f t="shared" si="1"/>
        <v>32.86027718816176</v>
      </c>
      <c r="AK29" s="23">
        <f t="array" ref="AK29:AM29">FLEXCOMPBIAXT2($B$4,$B$5,$B$6,$B$15,$B$16,$B$17,$B$18,$B$19,$B$20,$B$11,$B$12,$B$13,$B$7,$B$8,AI29,AJ29,$B$3,$B$14)</f>
        <v>-112.77973874276118</v>
      </c>
      <c r="AL29" s="23">
        <v>-3973.7790512706106</v>
      </c>
      <c r="AM29" s="23">
        <v>-199.83462236977431</v>
      </c>
      <c r="AO29" s="23">
        <v>-330.20265973797694</v>
      </c>
      <c r="AP29" s="23">
        <v>-1316.8827775942002</v>
      </c>
      <c r="AQ29" s="23">
        <v>277.62312815884377</v>
      </c>
      <c r="AR29" s="23">
        <f t="shared" si="3"/>
        <v>-1239.6966463966569</v>
      </c>
    </row>
    <row r="30" spans="1:44" x14ac:dyDescent="0.2">
      <c r="A30" s="24"/>
      <c r="B30" s="13"/>
      <c r="C30" s="13"/>
      <c r="D30" s="13"/>
      <c r="E30" s="13"/>
      <c r="F30" s="13"/>
      <c r="G30" s="13"/>
      <c r="H30" s="13"/>
      <c r="I30" s="24"/>
      <c r="J30" s="13"/>
      <c r="K30" s="13"/>
      <c r="L30" s="13"/>
      <c r="M30" s="13"/>
      <c r="N30" s="13"/>
      <c r="O30" s="13"/>
      <c r="P30" s="14"/>
      <c r="Q30" s="22">
        <v>-193.18312072753906</v>
      </c>
      <c r="R30" s="22">
        <v>1482.6181640625</v>
      </c>
      <c r="S30" s="22">
        <v>4.7538132667541504</v>
      </c>
      <c r="T30" s="23" t="s">
        <v>197</v>
      </c>
      <c r="U30" s="23">
        <f t="shared" si="2"/>
        <v>1456.275644227256</v>
      </c>
      <c r="AC30" s="23">
        <v>270</v>
      </c>
      <c r="AD30" s="23">
        <f t="shared" si="0"/>
        <v>41.578521728515625</v>
      </c>
      <c r="AE30" s="23">
        <f t="array" ref="AE30:AG30">FLEXCOMPBIAXT2($B$4,$B$5,$B$6,$B$15,$B$16,$B$17,$B$18,$B$19,$B$20,$B$11,$B$12,$B$13,$B$7,$B$8,AC30,AD30,$B$3,$B$14)</f>
        <v>-220.55384156923913</v>
      </c>
      <c r="AF30" s="23">
        <v>-3416.6182004367038</v>
      </c>
      <c r="AG30" s="23">
        <v>876.90202183936867</v>
      </c>
      <c r="AI30" s="23">
        <v>270</v>
      </c>
      <c r="AJ30" s="23">
        <f t="shared" si="1"/>
        <v>27.223052978515625</v>
      </c>
      <c r="AK30" s="23">
        <f t="array" ref="AK30:AM30">FLEXCOMPBIAXT2($B$4,$B$5,$B$6,$B$15,$B$16,$B$17,$B$18,$B$19,$B$20,$B$11,$B$12,$B$13,$B$7,$B$8,AI30,AJ30,$B$3,$B$14)</f>
        <v>-112.79038636300271</v>
      </c>
      <c r="AL30" s="23">
        <v>-4581.0404138263466</v>
      </c>
      <c r="AM30" s="23">
        <v>322.0767513370493</v>
      </c>
      <c r="AO30" s="27">
        <v>-330.20265973797694</v>
      </c>
      <c r="AP30" s="27">
        <v>-4.0302601450640823E-13</v>
      </c>
      <c r="AQ30" s="27">
        <v>3.975742506257821E-13</v>
      </c>
      <c r="AR30" s="27">
        <f t="shared" si="3"/>
        <v>-3.1974423109204518E-13</v>
      </c>
    </row>
    <row r="31" spans="1:44" x14ac:dyDescent="0.2">
      <c r="A31" s="24"/>
      <c r="B31" s="13"/>
      <c r="C31" s="13"/>
      <c r="D31" s="13"/>
      <c r="E31" s="13"/>
      <c r="F31" s="13"/>
      <c r="G31" s="13"/>
      <c r="H31" s="13"/>
      <c r="I31" s="24"/>
      <c r="J31" s="13"/>
      <c r="K31" s="13"/>
      <c r="L31" s="13"/>
      <c r="M31" s="13"/>
      <c r="N31" s="13"/>
      <c r="O31" s="13"/>
      <c r="P31" s="14"/>
      <c r="Q31" s="22">
        <v>-193.10670471191406</v>
      </c>
      <c r="R31" s="22">
        <v>1477.9271240234375</v>
      </c>
      <c r="S31" s="22">
        <v>-8.1433172225952148</v>
      </c>
      <c r="T31" s="23" t="s">
        <v>138</v>
      </c>
      <c r="U31" s="23">
        <f t="shared" si="2"/>
        <v>1449.2094923804527</v>
      </c>
      <c r="AC31" s="23">
        <v>280</v>
      </c>
      <c r="AD31" s="23">
        <f t="shared" si="0"/>
        <v>41.753504770630329</v>
      </c>
      <c r="AE31" s="23">
        <f t="array" ref="AE31:AG31">FLEXCOMPBIAXT2($B$4,$B$5,$B$6,$B$15,$B$16,$B$17,$B$18,$B$19,$B$20,$B$11,$B$12,$B$13,$B$7,$B$8,AC31,AD31,$B$3,$B$14)</f>
        <v>-220.52983829476133</v>
      </c>
      <c r="AF31" s="23">
        <v>-3460.4773581297477</v>
      </c>
      <c r="AG31" s="23">
        <v>1330.4924620767672</v>
      </c>
      <c r="AI31" s="23">
        <v>280</v>
      </c>
      <c r="AJ31" s="23">
        <f t="shared" si="1"/>
        <v>26.798950481016682</v>
      </c>
      <c r="AK31" s="23">
        <f t="array" ref="AK31:AM31">FLEXCOMPBIAXT2($B$4,$B$5,$B$6,$B$15,$B$16,$B$17,$B$18,$B$19,$B$20,$B$11,$B$12,$B$13,$B$7,$B$8,AI31,AJ31,$B$3,$B$14)</f>
        <v>-112.73337151825979</v>
      </c>
      <c r="AL31" s="23">
        <v>-4745.6806695249552</v>
      </c>
      <c r="AM31" s="23">
        <v>942.32534009138624</v>
      </c>
    </row>
    <row r="32" spans="1:44" x14ac:dyDescent="0.2">
      <c r="A32" s="24"/>
      <c r="B32" s="13"/>
      <c r="C32" s="13"/>
      <c r="D32" s="13"/>
      <c r="E32" s="13"/>
      <c r="F32" s="13"/>
      <c r="G32" s="13"/>
      <c r="H32" s="13"/>
      <c r="I32" s="24"/>
      <c r="J32" s="13"/>
      <c r="K32" s="13"/>
      <c r="L32" s="13"/>
      <c r="M32" s="13"/>
      <c r="N32" s="13"/>
      <c r="O32" s="13"/>
      <c r="P32" s="14"/>
      <c r="Q32" s="22">
        <v>-201.91981506347656</v>
      </c>
      <c r="R32" s="22">
        <v>1310.0308837890625</v>
      </c>
      <c r="S32" s="22">
        <v>13.056838989257813</v>
      </c>
      <c r="T32" s="23" t="s">
        <v>190</v>
      </c>
      <c r="U32" s="23">
        <f t="shared" si="2"/>
        <v>1288.4450053497824</v>
      </c>
      <c r="AC32" s="23">
        <v>290</v>
      </c>
      <c r="AD32" s="23">
        <f t="shared" si="0"/>
        <v>41.253200761739087</v>
      </c>
      <c r="AE32" s="23">
        <f t="array" ref="AE32:AG32">FLEXCOMPBIAXT2($B$4,$B$5,$B$6,$B$15,$B$16,$B$17,$B$18,$B$19,$B$20,$B$11,$B$12,$B$13,$B$7,$B$8,AC32,AD32,$B$3,$B$14)</f>
        <v>-220.54949374624849</v>
      </c>
      <c r="AF32" s="23">
        <v>-3489.3564370191234</v>
      </c>
      <c r="AG32" s="23">
        <v>1640.9463712801216</v>
      </c>
      <c r="AI32" s="23">
        <v>290</v>
      </c>
      <c r="AJ32" s="23">
        <f t="shared" si="1"/>
        <v>26.007326538444143</v>
      </c>
      <c r="AK32" s="23">
        <f t="array" ref="AK32:AM32">FLEXCOMPBIAXT2($B$4,$B$5,$B$6,$B$15,$B$16,$B$17,$B$18,$B$19,$B$20,$B$11,$B$12,$B$13,$B$7,$B$8,AI32,AJ32,$B$3,$B$14)</f>
        <v>-112.76204595447462</v>
      </c>
      <c r="AL32" s="23">
        <v>-4690.1490385021571</v>
      </c>
      <c r="AM32" s="23">
        <v>1726.0240318899803</v>
      </c>
    </row>
    <row r="33" spans="1:45" x14ac:dyDescent="0.2">
      <c r="A33" s="24"/>
      <c r="B33" s="13"/>
      <c r="C33" s="13"/>
      <c r="D33" s="13"/>
      <c r="E33" s="13"/>
      <c r="F33" s="13"/>
      <c r="G33" s="13"/>
      <c r="H33" s="13"/>
      <c r="I33" s="24"/>
      <c r="J33" s="13"/>
      <c r="K33" s="13"/>
      <c r="L33" s="13"/>
      <c r="M33" s="13"/>
      <c r="N33" s="13"/>
      <c r="O33" s="13"/>
      <c r="P33" s="14"/>
      <c r="Q33" s="22">
        <v>-112.908203125</v>
      </c>
      <c r="R33" s="22">
        <v>1177.1680908203125</v>
      </c>
      <c r="S33" s="22">
        <v>739.99456787109375</v>
      </c>
      <c r="T33" s="23" t="s">
        <v>207</v>
      </c>
      <c r="U33" s="23">
        <f t="shared" si="2"/>
        <v>1296.7553425199112</v>
      </c>
      <c r="AC33" s="23">
        <v>300</v>
      </c>
      <c r="AD33" s="23">
        <f t="shared" si="0"/>
        <v>40.29292106983057</v>
      </c>
      <c r="AE33" s="23">
        <f t="array" ref="AE33:AG33">FLEXCOMPBIAXT2($B$4,$B$5,$B$6,$B$15,$B$16,$B$17,$B$18,$B$19,$B$20,$B$11,$B$12,$B$13,$B$7,$B$8,AC33,AD33,$B$3,$B$14)</f>
        <v>-220.54074747959123</v>
      </c>
      <c r="AF33" s="23">
        <v>-3440.783438598899</v>
      </c>
      <c r="AG33" s="23">
        <v>1877.6845124313022</v>
      </c>
      <c r="AI33" s="23">
        <v>300</v>
      </c>
      <c r="AJ33" s="23">
        <f t="shared" si="1"/>
        <v>24.784548574096945</v>
      </c>
      <c r="AK33" s="23">
        <f t="array" ref="AK33:AM33">FLEXCOMPBIAXT2($B$4,$B$5,$B$6,$B$15,$B$16,$B$17,$B$18,$B$19,$B$20,$B$11,$B$12,$B$13,$B$7,$B$8,AI33,AJ33,$B$3,$B$14)</f>
        <v>-112.77112401869343</v>
      </c>
      <c r="AL33" s="23">
        <v>-4331.39927194136</v>
      </c>
      <c r="AM33" s="23">
        <v>2535.3246333515162</v>
      </c>
    </row>
    <row r="34" spans="1:45" x14ac:dyDescent="0.2">
      <c r="A34" s="24"/>
      <c r="B34" s="13"/>
      <c r="C34" s="13"/>
      <c r="D34" s="13"/>
      <c r="E34" s="13"/>
      <c r="F34" s="13"/>
      <c r="G34" s="13"/>
      <c r="H34" s="13"/>
      <c r="I34" s="24"/>
      <c r="J34" s="13"/>
      <c r="K34" s="13"/>
      <c r="L34" s="13"/>
      <c r="M34" s="13"/>
      <c r="N34" s="13"/>
      <c r="O34" s="13"/>
      <c r="P34" s="14"/>
      <c r="Q34" s="22">
        <v>-192.73565673828125</v>
      </c>
      <c r="R34" s="22">
        <v>1087.398193359375</v>
      </c>
      <c r="S34" s="22">
        <v>-715.2679443359375</v>
      </c>
      <c r="T34" s="23" t="s">
        <v>193</v>
      </c>
      <c r="U34" s="23">
        <f t="shared" si="2"/>
        <v>930.90829743010431</v>
      </c>
      <c r="AC34" s="23">
        <v>310</v>
      </c>
      <c r="AD34" s="23">
        <f t="shared" si="0"/>
        <v>44.641570281643439</v>
      </c>
      <c r="AE34" s="23">
        <f t="array" ref="AE34:AG34">FLEXCOMPBIAXT2($B$4,$B$5,$B$6,$B$15,$B$16,$B$17,$B$18,$B$19,$B$20,$B$11,$B$12,$B$13,$B$7,$B$8,AC34,AD34,$B$3,$B$14)</f>
        <v>-220.54614750764847</v>
      </c>
      <c r="AF34" s="23">
        <v>-3115.476261311027</v>
      </c>
      <c r="AG34" s="23">
        <v>1953.5622381353523</v>
      </c>
      <c r="AI34" s="23">
        <v>310</v>
      </c>
      <c r="AJ34" s="23">
        <f t="shared" si="1"/>
        <v>28.722559177158256</v>
      </c>
      <c r="AK34" s="23">
        <f t="array" ref="AK34:AM34">FLEXCOMPBIAXT2($B$4,$B$5,$B$6,$B$15,$B$16,$B$17,$B$18,$B$19,$B$20,$B$11,$B$12,$B$13,$B$7,$B$8,AI34,AJ34,$B$3,$B$14)</f>
        <v>-112.74697062725454</v>
      </c>
      <c r="AL34" s="23">
        <v>-3618.4227692198101</v>
      </c>
      <c r="AM34" s="23">
        <v>3055.6505109902259</v>
      </c>
    </row>
    <row r="35" spans="1:45" x14ac:dyDescent="0.2">
      <c r="A35" s="24"/>
      <c r="B35" s="13"/>
      <c r="C35" s="13"/>
      <c r="D35" s="13"/>
      <c r="E35" s="13"/>
      <c r="F35" s="13"/>
      <c r="G35" s="13"/>
      <c r="H35" s="13"/>
      <c r="I35" s="24"/>
      <c r="J35" s="13"/>
      <c r="K35" s="13"/>
      <c r="L35" s="13"/>
      <c r="M35" s="13"/>
      <c r="N35" s="13"/>
      <c r="O35" s="13"/>
      <c r="P35" s="14"/>
      <c r="Q35" s="22">
        <v>-175.0601806640625</v>
      </c>
      <c r="R35" s="22">
        <v>1199.4664306640625</v>
      </c>
      <c r="S35" s="22">
        <v>14.428714752197266</v>
      </c>
      <c r="T35" s="23" t="s">
        <v>38</v>
      </c>
      <c r="U35" s="23">
        <f t="shared" si="2"/>
        <v>1180.1744828192527</v>
      </c>
      <c r="AC35" s="23">
        <v>320</v>
      </c>
      <c r="AD35" s="23">
        <f t="shared" si="0"/>
        <v>48.075082480650053</v>
      </c>
      <c r="AE35" s="23">
        <f t="array" ref="AE35:AG35">FLEXCOMPBIAXT2($B$4,$B$5,$B$6,$B$15,$B$16,$B$17,$B$18,$B$19,$B$20,$B$11,$B$12,$B$13,$B$7,$B$8,AC35,AD35,$B$3,$B$14)</f>
        <v>-220.55109174966714</v>
      </c>
      <c r="AF35" s="23">
        <v>-2828.6306768386662</v>
      </c>
      <c r="AG35" s="23">
        <v>2050.7895236906802</v>
      </c>
      <c r="AI35" s="23">
        <v>320</v>
      </c>
      <c r="AJ35" s="23">
        <f t="shared" si="1"/>
        <v>33.35496303242958</v>
      </c>
      <c r="AK35" s="23">
        <f t="array" ref="AK35:AM35">FLEXCOMPBIAXT2($B$4,$B$5,$B$6,$B$15,$B$16,$B$17,$B$18,$B$19,$B$20,$B$11,$B$12,$B$13,$B$7,$B$8,AI35,AJ35,$B$3,$B$14)</f>
        <v>-112.74678345992483</v>
      </c>
      <c r="AL35" s="23">
        <v>-2880.5888895353992</v>
      </c>
      <c r="AM35" s="23">
        <v>3105.4923496805295</v>
      </c>
    </row>
    <row r="36" spans="1:45" x14ac:dyDescent="0.2">
      <c r="A36" s="24"/>
      <c r="B36" s="13"/>
      <c r="C36" s="13"/>
      <c r="D36" s="13"/>
      <c r="E36" s="13"/>
      <c r="F36" s="13"/>
      <c r="G36" s="13"/>
      <c r="H36" s="13"/>
      <c r="I36" s="24"/>
      <c r="J36" s="13"/>
      <c r="K36" s="13"/>
      <c r="L36" s="13"/>
      <c r="M36" s="13"/>
      <c r="N36" s="13"/>
      <c r="O36" s="13"/>
      <c r="P36" s="14"/>
      <c r="Q36" s="22">
        <v>-194.33576965332031</v>
      </c>
      <c r="R36" s="22">
        <v>-0.28983169794082642</v>
      </c>
      <c r="S36" s="22">
        <v>-1137.40185546875</v>
      </c>
      <c r="T36" s="23" t="s">
        <v>193</v>
      </c>
      <c r="U36" s="23">
        <f t="shared" si="2"/>
        <v>-217.35000607231032</v>
      </c>
      <c r="AC36" s="23">
        <v>330</v>
      </c>
      <c r="AD36" s="23">
        <f t="shared" si="0"/>
        <v>50.775828761992074</v>
      </c>
      <c r="AE36" s="23">
        <f t="array" ref="AE36:AG36">FLEXCOMPBIAXT2($B$4,$B$5,$B$6,$B$15,$B$16,$B$17,$B$18,$B$19,$B$20,$B$11,$B$12,$B$13,$B$7,$B$8,AC36,AD36,$B$3,$B$14)</f>
        <v>-220.53928056764849</v>
      </c>
      <c r="AF36" s="23">
        <v>-2497.4895047060722</v>
      </c>
      <c r="AG36" s="23">
        <v>2120.4319631100143</v>
      </c>
      <c r="AI36" s="23">
        <v>330</v>
      </c>
      <c r="AJ36" s="23">
        <f t="shared" si="1"/>
        <v>36.833139967353262</v>
      </c>
      <c r="AK36" s="23">
        <f t="array" ref="AK36:AM36">FLEXCOMPBIAXT2($B$4,$B$5,$B$6,$B$15,$B$16,$B$17,$B$18,$B$19,$B$20,$B$11,$B$12,$B$13,$B$7,$B$8,AI36,AJ36,$B$3,$B$14)</f>
        <v>-112.76089706141983</v>
      </c>
      <c r="AL36" s="23">
        <v>-2305.9887204570073</v>
      </c>
      <c r="AM36" s="23">
        <v>3022.8269331641764</v>
      </c>
    </row>
    <row r="37" spans="1:45" x14ac:dyDescent="0.2">
      <c r="A37" s="24"/>
      <c r="B37" s="13"/>
      <c r="C37" s="13"/>
      <c r="D37" s="13"/>
      <c r="E37" s="13"/>
      <c r="F37" s="13"/>
      <c r="G37" s="13"/>
      <c r="H37" s="13"/>
      <c r="I37" s="24"/>
      <c r="J37" s="13"/>
      <c r="K37" s="13"/>
      <c r="L37" s="13"/>
      <c r="M37" s="13"/>
      <c r="N37" s="13"/>
      <c r="O37" s="13"/>
      <c r="P37" s="14"/>
      <c r="Q37" s="22">
        <v>-113.36925506591797</v>
      </c>
      <c r="R37" s="22">
        <v>336.78948974609375</v>
      </c>
      <c r="S37" s="22">
        <v>-1142.3924560546875</v>
      </c>
      <c r="T37" s="23" t="s">
        <v>194</v>
      </c>
      <c r="U37" s="23">
        <f t="shared" si="2"/>
        <v>112.58154962361297</v>
      </c>
      <c r="AC37" s="23">
        <v>340</v>
      </c>
      <c r="AD37" s="23">
        <f t="shared" si="0"/>
        <v>52.366168781103738</v>
      </c>
      <c r="AE37" s="23">
        <f t="array" ref="AE37:AG37">FLEXCOMPBIAXT2($B$4,$B$5,$B$6,$B$15,$B$16,$B$17,$B$18,$B$19,$B$20,$B$11,$B$12,$B$13,$B$7,$B$8,AC37,AD37,$B$3,$B$14)</f>
        <v>-220.52160587606929</v>
      </c>
      <c r="AF37" s="23">
        <v>-2081.8116867937292</v>
      </c>
      <c r="AG37" s="23">
        <v>2208.9126342366126</v>
      </c>
      <c r="AI37" s="23">
        <v>340</v>
      </c>
      <c r="AJ37" s="23">
        <f t="shared" si="1"/>
        <v>38.728999999253134</v>
      </c>
      <c r="AK37" s="23">
        <f t="array" ref="AK37:AM37">FLEXCOMPBIAXT2($B$4,$B$5,$B$6,$B$15,$B$16,$B$17,$B$18,$B$19,$B$20,$B$11,$B$12,$B$13,$B$7,$B$8,AI37,AJ37,$B$3,$B$14)</f>
        <v>-112.78890815899541</v>
      </c>
      <c r="AL37" s="23">
        <v>-1768.3108750777888</v>
      </c>
      <c r="AM37" s="23">
        <v>2877.0000582460052</v>
      </c>
    </row>
    <row r="38" spans="1:45" x14ac:dyDescent="0.2">
      <c r="A38" s="24"/>
      <c r="B38" s="13"/>
      <c r="C38" s="13"/>
      <c r="D38" s="13"/>
      <c r="E38" s="13"/>
      <c r="F38" s="13"/>
      <c r="G38" s="13"/>
      <c r="H38" s="13"/>
      <c r="I38" s="24"/>
      <c r="J38" s="13"/>
      <c r="K38" s="13"/>
      <c r="L38" s="13"/>
      <c r="M38" s="13"/>
      <c r="N38" s="13"/>
      <c r="O38" s="13"/>
      <c r="P38" s="14"/>
      <c r="Q38" s="22">
        <v>-193.53570556640625</v>
      </c>
      <c r="R38" s="22">
        <v>544.88232421875</v>
      </c>
      <c r="S38" s="22">
        <v>-933.41748046875</v>
      </c>
      <c r="T38" s="23" t="s">
        <v>193</v>
      </c>
      <c r="U38" s="23">
        <f t="shared" si="2"/>
        <v>356.73121557045505</v>
      </c>
      <c r="AC38" s="23">
        <v>350</v>
      </c>
      <c r="AD38" s="23">
        <f t="shared" si="0"/>
        <v>51.571139775972284</v>
      </c>
      <c r="AE38" s="23">
        <f t="array" ref="AE38:AG38">FLEXCOMPBIAXT2($B$4,$B$5,$B$6,$B$15,$B$16,$B$17,$B$18,$B$19,$B$20,$B$11,$B$12,$B$13,$B$7,$B$8,AC38,AD38,$B$3,$B$14)</f>
        <v>-220.52920922640624</v>
      </c>
      <c r="AF38" s="23">
        <v>-1523.8372889285029</v>
      </c>
      <c r="AG38" s="23">
        <v>2301.0354890851859</v>
      </c>
      <c r="AI38" s="23">
        <v>350</v>
      </c>
      <c r="AJ38" s="23">
        <f t="shared" si="1"/>
        <v>38.53373786446717</v>
      </c>
      <c r="AK38" s="23">
        <f t="array" ref="AK38:AM38">FLEXCOMPBIAXT2($B$4,$B$5,$B$6,$B$15,$B$16,$B$17,$B$18,$B$19,$B$20,$B$11,$B$12,$B$13,$B$7,$B$8,AI38,AJ38,$B$3,$B$14)</f>
        <v>-112.76010730877535</v>
      </c>
      <c r="AL38" s="23">
        <v>-1314.4410869910112</v>
      </c>
      <c r="AM38" s="23">
        <v>2876.2402093707065</v>
      </c>
    </row>
    <row r="39" spans="1:45" x14ac:dyDescent="0.2">
      <c r="A39" s="24"/>
      <c r="B39" s="13"/>
      <c r="C39" s="13"/>
      <c r="D39" s="13"/>
      <c r="E39" s="13"/>
      <c r="F39" s="13"/>
      <c r="G39" s="13"/>
      <c r="H39" s="13"/>
      <c r="I39" s="24"/>
      <c r="J39" s="13"/>
      <c r="K39" s="13"/>
      <c r="L39" s="13"/>
      <c r="M39" s="13"/>
      <c r="N39" s="13"/>
      <c r="O39" s="13"/>
      <c r="P39" s="14"/>
      <c r="Q39" s="22">
        <v>-194.27473449707031</v>
      </c>
      <c r="R39" s="22">
        <v>251.18789672851563</v>
      </c>
      <c r="S39" s="22">
        <v>960.7196044921875</v>
      </c>
      <c r="T39" s="23" t="s">
        <v>192</v>
      </c>
      <c r="U39" s="23">
        <f t="shared" si="2"/>
        <v>429.91807437182882</v>
      </c>
      <c r="AC39" s="27">
        <v>360</v>
      </c>
      <c r="AD39" s="27">
        <f>AD3</f>
        <v>48.404464721679688</v>
      </c>
      <c r="AE39" s="27">
        <f t="shared" ref="AE39:AG39" si="5">AE3</f>
        <v>-220.54848679328563</v>
      </c>
      <c r="AF39" s="27">
        <f t="shared" si="5"/>
        <v>-730.74907508357592</v>
      </c>
      <c r="AG39" s="27">
        <f t="shared" si="5"/>
        <v>2356.5814847772313</v>
      </c>
      <c r="AI39" s="27">
        <v>360</v>
      </c>
      <c r="AJ39" s="27">
        <f t="shared" si="1"/>
        <v>37.084884643554702</v>
      </c>
      <c r="AK39" s="27">
        <f t="shared" ref="AK39:AM39" si="6">AK3</f>
        <v>-112.76867483589308</v>
      </c>
      <c r="AL39" s="27">
        <f t="shared" si="6"/>
        <v>-853.49264308159877</v>
      </c>
      <c r="AM39" s="27">
        <f t="shared" si="6"/>
        <v>2854.3433700688556</v>
      </c>
    </row>
    <row r="40" spans="1:45" x14ac:dyDescent="0.2">
      <c r="A40" s="24"/>
      <c r="B40" s="13"/>
      <c r="C40" s="13"/>
      <c r="D40" s="13"/>
      <c r="E40" s="13"/>
      <c r="F40" s="13"/>
      <c r="G40" s="13"/>
      <c r="H40" s="13"/>
      <c r="I40" s="24"/>
      <c r="J40" s="13"/>
      <c r="K40" s="13"/>
      <c r="L40" s="13"/>
      <c r="M40" s="13"/>
      <c r="N40" s="13"/>
      <c r="O40" s="13"/>
      <c r="P40" s="14"/>
      <c r="Q40" s="22">
        <v>-220.53742980957031</v>
      </c>
      <c r="R40" s="22">
        <v>-827.5919189453125</v>
      </c>
      <c r="S40" s="22">
        <v>13.473413467407227</v>
      </c>
      <c r="T40" s="23" t="s">
        <v>23</v>
      </c>
      <c r="U40" s="23">
        <f t="shared" si="2"/>
        <v>-809.80989813595158</v>
      </c>
    </row>
    <row r="41" spans="1:45" x14ac:dyDescent="0.2">
      <c r="A41" s="24"/>
      <c r="B41" s="13"/>
      <c r="C41" s="13"/>
      <c r="D41" s="13"/>
      <c r="E41" s="13"/>
      <c r="F41" s="13"/>
      <c r="G41" s="13"/>
      <c r="H41" s="13"/>
      <c r="I41" s="24"/>
      <c r="J41" s="13"/>
      <c r="K41" s="13"/>
      <c r="L41" s="13"/>
      <c r="M41" s="13"/>
      <c r="N41" s="13"/>
      <c r="O41" s="13"/>
      <c r="P41" s="14"/>
      <c r="Q41" s="22">
        <v>-112.76921844482422</v>
      </c>
      <c r="R41" s="22">
        <v>352.224365234375</v>
      </c>
      <c r="S41" s="22">
        <v>-939.00054931640625</v>
      </c>
      <c r="T41" s="23" t="s">
        <v>194</v>
      </c>
      <c r="U41" s="23">
        <f t="shared" si="2"/>
        <v>166.54871880965561</v>
      </c>
      <c r="AC41" s="7">
        <f>XCOMPRESST2($B$4,$B$5,$B$6,$B$15,$B$16,$B$17,$B$18,$B$19,$B$20,$B$11,$B$12,$B$13,$B$7,$B$8,B9,$AD$1,$B$3,$B$14)</f>
        <v>51.820164886581964</v>
      </c>
      <c r="AD41" s="7">
        <f t="array" ref="AD41:AF41">FLEXCOMPBIAXT2($B$4,$B$5,$B$6,$B$15,$B$16,$B$17,$B$18,$B$19,$B$20,$B$11,$B$12,$B$13,$B$7,$B$8,B9,AC41,$B$3,$B$14)</f>
        <v>-220.56038973289046</v>
      </c>
      <c r="AE41" s="7">
        <v>2892.4206943052704</v>
      </c>
      <c r="AF41" s="7">
        <v>241.28201975686727</v>
      </c>
      <c r="AG41" s="7">
        <f t="shared" ref="AG41:AG42" si="7">AF41*COS($X$6)+AE41*SIN($X$6)</f>
        <v>2885.3065537670918</v>
      </c>
      <c r="AI41" s="7">
        <f>XCOMPRESST2($B$4,$B$5,$B$6,$B$15,$B$16,$B$17,$B$18,$B$19,$B$20,$B$11,$B$12,$B$13,$B$7,$B$8,B9,$AJ$1,$B$3,$B$14)</f>
        <v>39.980425357789414</v>
      </c>
      <c r="AJ41" s="7">
        <f t="array" ref="AJ41:AL41">FLEXCOMPBIAXT2($B$4,$B$5,$B$6,$B$15,$B$16,$B$17,$B$18,$B$19,$B$20,$B$11,$B$12,$B$13,$B$7,$B$8,B9,AI41,$B$3,$B$14)</f>
        <v>-112.78224928216027</v>
      </c>
      <c r="AK41" s="7">
        <v>3430.6120387462106</v>
      </c>
      <c r="AL41" s="7">
        <v>-221.15317695988131</v>
      </c>
      <c r="AM41" s="7">
        <f t="shared" ref="AM41:AM42" si="8">AL41*COS($X$6)+AK41*SIN($X$6)</f>
        <v>3325.3535703818688</v>
      </c>
    </row>
    <row r="42" spans="1:45" x14ac:dyDescent="0.2">
      <c r="A42" s="34"/>
      <c r="B42" s="35"/>
      <c r="C42" s="35"/>
      <c r="D42" s="35"/>
      <c r="E42" s="35"/>
      <c r="F42" s="35"/>
      <c r="G42" s="35"/>
      <c r="H42" s="35"/>
      <c r="I42" s="34"/>
      <c r="J42" s="35"/>
      <c r="K42" s="35"/>
      <c r="L42" s="35"/>
      <c r="M42" s="35"/>
      <c r="N42" s="35"/>
      <c r="O42" s="35"/>
      <c r="P42" s="37"/>
      <c r="Q42" s="40">
        <v>-203.51991271972656</v>
      </c>
      <c r="R42" s="40">
        <v>-733.01385498046875</v>
      </c>
      <c r="S42" s="40">
        <v>352.15841674804688</v>
      </c>
      <c r="T42" s="27" t="s">
        <v>190</v>
      </c>
      <c r="U42" s="27">
        <f t="shared" si="2"/>
        <v>-652.33437287220841</v>
      </c>
      <c r="AC42" s="7">
        <f>XCOMPRESST2($B$4,$B$5,$B$6,$B$15,$B$16,$B$17,$B$18,$B$19,$B$20,$B$11,$B$12,$B$13,$B$7,$B$8,B9+180,$AD$1,$B$3,$B$14)</f>
        <v>46.348518576023878</v>
      </c>
      <c r="AD42" s="7">
        <f t="array" ref="AD42:AF42">FLEXCOMPBIAXT2($B$4,$B$5,$B$6,$B$15,$B$16,$B$17,$B$18,$B$19,$B$20,$B$11,$B$12,$B$13,$B$7,$B$8,B9+180,AC42,$B$3,$B$14)</f>
        <v>-220.53399400239221</v>
      </c>
      <c r="AE42" s="7">
        <v>-3185.6723172789539</v>
      </c>
      <c r="AF42" s="7">
        <v>326.55126539086109</v>
      </c>
      <c r="AG42" s="7">
        <f t="shared" si="7"/>
        <v>-3064.8011970465486</v>
      </c>
      <c r="AI42" s="7">
        <f>XCOMPRESST2($B$4,$B$5,$B$6,$B$15,$B$16,$B$17,$B$18,$B$19,$B$20,$B$11,$B$12,$B$13,$B$7,$B$8,B9+180,$AJ$1,$B$3,$B$14)</f>
        <v>33.34007789351989</v>
      </c>
      <c r="AJ42" s="7">
        <f t="array" ref="AJ42:AL42">FLEXCOMPBIAXT2($B$4,$B$5,$B$6,$B$15,$B$16,$B$17,$B$18,$B$19,$B$20,$B$11,$B$12,$B$13,$B$7,$B$8,B9+180,AI42,$B$3,$B$14)</f>
        <v>-112.77466324660115</v>
      </c>
      <c r="AK42" s="7">
        <v>-3915.3856098783403</v>
      </c>
      <c r="AL42" s="7">
        <v>-251.12137218146279</v>
      </c>
      <c r="AM42" s="7">
        <f t="shared" si="8"/>
        <v>-3891.3476788690214</v>
      </c>
    </row>
    <row r="43" spans="1:45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</row>
    <row r="44" spans="1:45" x14ac:dyDescent="0.2">
      <c r="A44" s="3" t="s">
        <v>84</v>
      </c>
      <c r="B44" s="3" t="s">
        <v>85</v>
      </c>
      <c r="C44" s="3" t="s">
        <v>86</v>
      </c>
      <c r="D44" s="3" t="s">
        <v>87</v>
      </c>
      <c r="E44" s="3" t="s">
        <v>88</v>
      </c>
      <c r="F44" s="3" t="s">
        <v>89</v>
      </c>
      <c r="H44" s="3" t="s">
        <v>90</v>
      </c>
      <c r="I44" s="3" t="s">
        <v>91</v>
      </c>
      <c r="J44" s="3" t="s">
        <v>92</v>
      </c>
      <c r="K44" s="3" t="s">
        <v>93</v>
      </c>
      <c r="W44" s="3" t="s">
        <v>94</v>
      </c>
      <c r="X44" s="3" t="s">
        <v>95</v>
      </c>
      <c r="Y44" s="3" t="s">
        <v>96</v>
      </c>
      <c r="Z44" s="3" t="s">
        <v>97</v>
      </c>
      <c r="AA44" s="3" t="s">
        <v>98</v>
      </c>
      <c r="AB44" s="3" t="s">
        <v>99</v>
      </c>
      <c r="AC44" s="3" t="s">
        <v>100</v>
      </c>
      <c r="AD44" s="3" t="s">
        <v>101</v>
      </c>
      <c r="AE44" s="3" t="s">
        <v>102</v>
      </c>
      <c r="AF44" s="3" t="s">
        <v>103</v>
      </c>
      <c r="AG44" s="3" t="s">
        <v>104</v>
      </c>
      <c r="AH44" s="3" t="s">
        <v>105</v>
      </c>
      <c r="AI44" s="3" t="s">
        <v>106</v>
      </c>
    </row>
    <row r="45" spans="1:45" x14ac:dyDescent="0.2">
      <c r="A45" s="42">
        <f t="array" ref="A45:B53">CONCTE2(B15,B16,B17,B18,B19,B20,B14)</f>
        <v>0</v>
      </c>
      <c r="B45" s="42">
        <v>0</v>
      </c>
      <c r="C45" s="42">
        <f t="shared" ref="C45:C53" ca="1" si="9">A45-$X$15</f>
        <v>-39.19800326714126</v>
      </c>
      <c r="D45" s="42">
        <f t="shared" ref="D45:D53" ca="1" si="10">B45-$X$16</f>
        <v>-20.927944869268792</v>
      </c>
      <c r="E45" s="42">
        <f t="shared" ref="E45:E53" ca="1" si="11">C45*COS($X$6)+D45*SIN($X$6)</f>
        <v>-28.023975625281196</v>
      </c>
      <c r="F45" s="42">
        <f t="shared" ref="F45:F53" ca="1" si="12">-C45*SIN($X$6)+D45*COS($X$6)</f>
        <v>34.483606637583847</v>
      </c>
      <c r="H45" s="18">
        <f t="array" aca="1" ref="H45:I55" ca="1">VERTCOMPRES(E45:F53,X21)</f>
        <v>-28.023975625281196</v>
      </c>
      <c r="I45" s="18">
        <f ca="1"/>
        <v>34.483606637583847</v>
      </c>
      <c r="J45" s="18">
        <f t="shared" ref="J45:J55" ca="1" si="13">H45*COS($X$6)-I45*SIN($X$6)</f>
        <v>-39.198003267141267</v>
      </c>
      <c r="K45" s="18">
        <f t="shared" ref="K45:K55" ca="1" si="14">H45*SIN($X$6)+I45*COS($X$6)</f>
        <v>-20.927944869268796</v>
      </c>
      <c r="W45" s="42">
        <f t="array" ref="W45:Y72">REBARTE2(B15,B16,B17,B18,B19,B20,B11,B12,B13,B7,B8,B14)</f>
        <v>5</v>
      </c>
      <c r="X45" s="42">
        <v>5</v>
      </c>
      <c r="Y45" s="42">
        <v>3.1415926535897931</v>
      </c>
      <c r="Z45" s="18">
        <f t="shared" ref="Z45:Z72" ca="1" si="15">W45-$X$15</f>
        <v>-34.19800326714126</v>
      </c>
      <c r="AA45" s="18">
        <f t="shared" ref="AA45:AA72" ca="1" si="16">X45-$X$16</f>
        <v>-15.927944869268792</v>
      </c>
      <c r="AB45" s="18">
        <f t="shared" ref="AB45:AB72" ca="1" si="17">Z45*COS($X$6)+AA45*SIN($X$6)</f>
        <v>-22.161656630462812</v>
      </c>
      <c r="AC45" s="18">
        <f t="shared" ref="AC45:AC72" ca="1" si="18">-Z45*SIN($X$6)+AA45*COS($X$6)</f>
        <v>30.529720447644692</v>
      </c>
      <c r="AD45" s="18">
        <f t="shared" ref="AD45:AD72" ca="1" si="19">$X$18-AC45</f>
        <v>7.7707517996976136</v>
      </c>
      <c r="AE45" s="18">
        <f t="shared" ref="AE45:AE72" ca="1" si="20">($B$10-AD45)*$AA$4</f>
        <v>-2.3075520541519743</v>
      </c>
      <c r="AF45" s="18">
        <f t="shared" ref="AF45:AF72" ca="1" si="21">IF(ABS(AE45)&lt;$X$7,AE45*$B$6/1000,SIGN(AE45)*$B$5)-IF(AD45&lt;$X$20,$X$8)</f>
        <v>-4.0214998148381706</v>
      </c>
      <c r="AG45" s="18">
        <f ca="1">Y45*AF45</f>
        <v>-12.63391427470831</v>
      </c>
      <c r="AH45" s="18">
        <f ca="1">AG45*AC45</f>
        <v>-385.70987096635247</v>
      </c>
      <c r="AI45" s="18">
        <f ca="1">AG45*AB45</f>
        <v>279.98847005478819</v>
      </c>
    </row>
    <row r="46" spans="1:45" x14ac:dyDescent="0.2">
      <c r="A46" s="43">
        <v>70</v>
      </c>
      <c r="B46" s="43">
        <v>0</v>
      </c>
      <c r="C46" s="43">
        <f t="shared" ca="1" si="9"/>
        <v>30.80199673285874</v>
      </c>
      <c r="D46" s="43">
        <f t="shared" ca="1" si="10"/>
        <v>-20.927944869268792</v>
      </c>
      <c r="E46" s="43">
        <f t="shared" ca="1" si="11"/>
        <v>-14.664945991126572</v>
      </c>
      <c r="F46" s="43">
        <f t="shared" ca="1" si="12"/>
        <v>-34.22982965571893</v>
      </c>
      <c r="H46" s="23">
        <f ca="1"/>
        <v>-23.202521607276037</v>
      </c>
      <c r="I46" s="23">
        <f ca="1"/>
        <v>9.6840004850332946</v>
      </c>
      <c r="J46" s="23">
        <f t="shared" ca="1" si="13"/>
        <v>-13.934058916162314</v>
      </c>
      <c r="K46" s="23">
        <f t="shared" ca="1" si="14"/>
        <v>-20.927944869268792</v>
      </c>
      <c r="W46" s="43">
        <v>35</v>
      </c>
      <c r="X46" s="43">
        <v>5</v>
      </c>
      <c r="Y46" s="43">
        <v>3.1415926535897931</v>
      </c>
      <c r="Z46" s="23">
        <f t="shared" ca="1" si="15"/>
        <v>-4.1980032671412602</v>
      </c>
      <c r="AA46" s="23">
        <f t="shared" ca="1" si="16"/>
        <v>-15.927944869268792</v>
      </c>
      <c r="AB46" s="23">
        <f t="shared" ca="1" si="17"/>
        <v>-16.436358215825116</v>
      </c>
      <c r="AC46" s="23">
        <f t="shared" ca="1" si="18"/>
        <v>1.0811048933720713</v>
      </c>
      <c r="AD46" s="23">
        <f t="shared" ca="1" si="19"/>
        <v>37.219367353970235</v>
      </c>
      <c r="AE46" s="23">
        <f t="shared" ca="1" si="20"/>
        <v>0.31659987789375282</v>
      </c>
      <c r="AF46" s="23">
        <f t="shared" ca="1" si="21"/>
        <v>0.66485974357688082</v>
      </c>
      <c r="AG46" s="23">
        <f t="shared" ref="AG46:AG72" ca="1" si="22">Y46*AF46</f>
        <v>2.0887184860887222</v>
      </c>
      <c r="AH46" s="23">
        <f t="shared" ref="AH46:AH72" ca="1" si="23">AG46*AC46</f>
        <v>2.2581237761872224</v>
      </c>
      <c r="AI46" s="23">
        <f t="shared" ref="AI46:AI72" ca="1" si="24">AG46*AB46</f>
        <v>-34.330925249370168</v>
      </c>
    </row>
    <row r="47" spans="1:45" x14ac:dyDescent="0.2">
      <c r="A47" s="43">
        <v>70</v>
      </c>
      <c r="B47" s="43">
        <v>30</v>
      </c>
      <c r="C47" s="43">
        <f t="shared" ca="1" si="9"/>
        <v>30.80199673285874</v>
      </c>
      <c r="D47" s="43">
        <f t="shared" ca="1" si="10"/>
        <v>9.0720551307312078</v>
      </c>
      <c r="E47" s="43">
        <f t="shared" ca="1" si="11"/>
        <v>14.783669563146049</v>
      </c>
      <c r="F47" s="43">
        <f t="shared" ca="1" si="12"/>
        <v>-28.504531241081239</v>
      </c>
      <c r="H47" s="23">
        <f ca="1"/>
        <v>32.827277041801921</v>
      </c>
      <c r="I47" s="23">
        <f ca="1"/>
        <v>9.6840004850332946</v>
      </c>
      <c r="J47" s="23">
        <f t="shared" ca="1" si="13"/>
        <v>-3.2411483368944696</v>
      </c>
      <c r="K47" s="23">
        <f t="shared" ca="1" si="14"/>
        <v>34.072055130731208</v>
      </c>
      <c r="W47" s="43">
        <v>50</v>
      </c>
      <c r="X47" s="43">
        <v>5</v>
      </c>
      <c r="Y47" s="43">
        <v>3.1415926535897931</v>
      </c>
      <c r="Z47" s="23">
        <f t="shared" ca="1" si="15"/>
        <v>10.80199673285874</v>
      </c>
      <c r="AA47" s="23">
        <f t="shared" ca="1" si="16"/>
        <v>-15.927944869268792</v>
      </c>
      <c r="AB47" s="23">
        <f t="shared" ca="1" si="17"/>
        <v>-13.573709008506267</v>
      </c>
      <c r="AC47" s="23">
        <f t="shared" ca="1" si="18"/>
        <v>-13.643202883764237</v>
      </c>
      <c r="AD47" s="23">
        <f t="shared" ca="1" si="19"/>
        <v>51.943675131106545</v>
      </c>
      <c r="AE47" s="23">
        <f t="shared" ca="1" si="20"/>
        <v>1.6286758439166162</v>
      </c>
      <c r="AF47" s="23">
        <f t="shared" ca="1" si="21"/>
        <v>3.4202192722248941</v>
      </c>
      <c r="AG47" s="23">
        <f t="shared" ca="1" si="22"/>
        <v>10.744935739287955</v>
      </c>
      <c r="AH47" s="23">
        <f t="shared" ca="1" si="23"/>
        <v>-146.59533826411484</v>
      </c>
      <c r="AI47" s="23">
        <f t="shared" ca="1" si="24"/>
        <v>-145.84863104019385</v>
      </c>
    </row>
    <row r="48" spans="1:45" x14ac:dyDescent="0.2">
      <c r="A48" s="43">
        <v>55</v>
      </c>
      <c r="B48" s="43">
        <v>30</v>
      </c>
      <c r="C48" s="43">
        <f t="shared" ca="1" si="9"/>
        <v>15.80199673285874</v>
      </c>
      <c r="D48" s="43">
        <f t="shared" ca="1" si="10"/>
        <v>9.0720551307312078</v>
      </c>
      <c r="E48" s="43">
        <f t="shared" ca="1" si="11"/>
        <v>11.921020355827199</v>
      </c>
      <c r="F48" s="43">
        <f t="shared" ca="1" si="12"/>
        <v>-13.780223463944926</v>
      </c>
      <c r="H48" s="23">
        <f ca="1"/>
        <v>31.690451305522966</v>
      </c>
      <c r="I48" s="23">
        <f ca="1"/>
        <v>15.531371510147</v>
      </c>
      <c r="J48" s="23">
        <f t="shared" ca="1" si="13"/>
        <v>-9.1980032671412602</v>
      </c>
      <c r="K48" s="23">
        <f t="shared" ca="1" si="14"/>
        <v>34.072055130731208</v>
      </c>
      <c r="W48" s="43">
        <v>65</v>
      </c>
      <c r="X48" s="43">
        <v>5</v>
      </c>
      <c r="Y48" s="43">
        <v>3.1415926535897931</v>
      </c>
      <c r="Z48" s="23">
        <f t="shared" ca="1" si="15"/>
        <v>25.80199673285874</v>
      </c>
      <c r="AA48" s="23">
        <f t="shared" ca="1" si="16"/>
        <v>-15.927944869268792</v>
      </c>
      <c r="AB48" s="23">
        <f t="shared" ca="1" si="17"/>
        <v>-10.711059801187417</v>
      </c>
      <c r="AC48" s="23">
        <f t="shared" ca="1" si="18"/>
        <v>-28.367510660900546</v>
      </c>
      <c r="AD48" s="23">
        <f t="shared" ca="1" si="19"/>
        <v>66.667982908242848</v>
      </c>
      <c r="AE48" s="23">
        <f t="shared" ca="1" si="20"/>
        <v>2.9407518099394792</v>
      </c>
      <c r="AF48" s="23">
        <f t="shared" ca="1" si="21"/>
        <v>4.1999998092651367</v>
      </c>
      <c r="AG48" s="23">
        <f t="shared" ca="1" si="22"/>
        <v>13.194688545865885</v>
      </c>
      <c r="AH48" s="23">
        <f t="shared" ca="1" si="23"/>
        <v>-374.30046799211283</v>
      </c>
      <c r="AI48" s="23">
        <f t="shared" ca="1" si="24"/>
        <v>-141.32909807281214</v>
      </c>
    </row>
    <row r="49" spans="1:35" x14ac:dyDescent="0.2">
      <c r="A49" s="43">
        <v>55</v>
      </c>
      <c r="B49" s="43">
        <v>55</v>
      </c>
      <c r="C49" s="43">
        <f t="shared" ca="1" si="9"/>
        <v>15.80199673285874</v>
      </c>
      <c r="D49" s="43">
        <f t="shared" ca="1" si="10"/>
        <v>34.072055130731208</v>
      </c>
      <c r="E49" s="43">
        <f t="shared" ca="1" si="11"/>
        <v>36.461533317721049</v>
      </c>
      <c r="F49" s="43">
        <f t="shared" ca="1" si="12"/>
        <v>-9.0091414517468458</v>
      </c>
      <c r="H49" s="23">
        <f ca="1"/>
        <v>1.6139436982486057</v>
      </c>
      <c r="I49" s="23">
        <f ca="1"/>
        <v>9.6840004850332946</v>
      </c>
      <c r="J49" s="23">
        <f t="shared" ca="1" si="13"/>
        <v>-9.1980032671412602</v>
      </c>
      <c r="K49" s="23">
        <f t="shared" ca="1" si="14"/>
        <v>3.4324066706758654</v>
      </c>
      <c r="W49" s="43">
        <v>65</v>
      </c>
      <c r="X49" s="43">
        <v>25</v>
      </c>
      <c r="Y49" s="43">
        <v>3.1415926535897931</v>
      </c>
      <c r="Z49" s="23">
        <f t="shared" ca="1" si="15"/>
        <v>25.80199673285874</v>
      </c>
      <c r="AA49" s="23">
        <f t="shared" ca="1" si="16"/>
        <v>4.0720551307312078</v>
      </c>
      <c r="AB49" s="23">
        <f t="shared" ca="1" si="17"/>
        <v>8.9213505683276608</v>
      </c>
      <c r="AC49" s="23">
        <f t="shared" ca="1" si="18"/>
        <v>-24.55064505114208</v>
      </c>
      <c r="AD49" s="23">
        <f t="shared" ca="1" si="19"/>
        <v>62.851117298484382</v>
      </c>
      <c r="AE49" s="23">
        <f t="shared" ca="1" si="20"/>
        <v>2.6006327559300497</v>
      </c>
      <c r="AF49" s="23">
        <f t="shared" ca="1" si="21"/>
        <v>4.1999998092651367</v>
      </c>
      <c r="AG49" s="23">
        <f t="shared" ca="1" si="22"/>
        <v>13.194688545865885</v>
      </c>
      <c r="AH49" s="23">
        <f t="shared" ca="1" si="23"/>
        <v>-323.9381150499234</v>
      </c>
      <c r="AI49" s="23">
        <f t="shared" ca="1" si="24"/>
        <v>117.71444215756709</v>
      </c>
    </row>
    <row r="50" spans="1:35" x14ac:dyDescent="0.2">
      <c r="A50" s="43">
        <v>30</v>
      </c>
      <c r="B50" s="43">
        <v>55</v>
      </c>
      <c r="C50" s="43">
        <f t="shared" ca="1" si="9"/>
        <v>-9.1980032671412602</v>
      </c>
      <c r="D50" s="43">
        <f t="shared" ca="1" si="10"/>
        <v>34.072055130731208</v>
      </c>
      <c r="E50" s="43">
        <f t="shared" ca="1" si="11"/>
        <v>31.690451305522966</v>
      </c>
      <c r="F50" s="43">
        <f t="shared" ca="1" si="12"/>
        <v>15.531371510147</v>
      </c>
      <c r="H50" s="23">
        <f ca="1"/>
        <v>-2.8280493712476882</v>
      </c>
      <c r="I50" s="23">
        <f ca="1"/>
        <v>9.6840004850332946</v>
      </c>
      <c r="J50" s="23">
        <f t="shared" ca="1" si="13"/>
        <v>-10.045727796428553</v>
      </c>
      <c r="K50" s="23">
        <f t="shared" ca="1" si="14"/>
        <v>-0.92794486926879216</v>
      </c>
      <c r="W50" s="43">
        <v>50</v>
      </c>
      <c r="X50" s="43">
        <v>25</v>
      </c>
      <c r="Y50" s="43">
        <v>3.1415926535897931</v>
      </c>
      <c r="Z50" s="23">
        <f t="shared" ca="1" si="15"/>
        <v>10.80199673285874</v>
      </c>
      <c r="AA50" s="23">
        <f t="shared" ca="1" si="16"/>
        <v>4.0720551307312078</v>
      </c>
      <c r="AB50" s="23">
        <f t="shared" ca="1" si="17"/>
        <v>6.0587013610088132</v>
      </c>
      <c r="AC50" s="23">
        <f t="shared" ca="1" si="18"/>
        <v>-9.8263372740057733</v>
      </c>
      <c r="AD50" s="23">
        <f t="shared" ca="1" si="19"/>
        <v>48.126809521348079</v>
      </c>
      <c r="AE50" s="23">
        <f t="shared" ca="1" si="20"/>
        <v>1.288556789907187</v>
      </c>
      <c r="AF50" s="23">
        <f t="shared" ca="1" si="21"/>
        <v>2.705969258805093</v>
      </c>
      <c r="AG50" s="23">
        <f t="shared" ca="1" si="22"/>
        <v>8.5010531443018973</v>
      </c>
      <c r="AH50" s="23">
        <f t="shared" ca="1" si="23"/>
        <v>-83.534215380157718</v>
      </c>
      <c r="AI50" s="23">
        <f t="shared" ca="1" si="24"/>
        <v>51.505342255390154</v>
      </c>
    </row>
    <row r="51" spans="1:35" x14ac:dyDescent="0.2">
      <c r="A51" s="43">
        <v>30</v>
      </c>
      <c r="B51" s="43">
        <v>20</v>
      </c>
      <c r="C51" s="43">
        <f t="shared" ca="1" si="9"/>
        <v>-9.1980032671412602</v>
      </c>
      <c r="D51" s="43">
        <f t="shared" ca="1" si="10"/>
        <v>-0.92794486926879216</v>
      </c>
      <c r="E51" s="43">
        <f t="shared" ca="1" si="11"/>
        <v>-2.6662668411284209</v>
      </c>
      <c r="F51" s="43">
        <f t="shared" ca="1" si="12"/>
        <v>8.8518566930696885</v>
      </c>
      <c r="H51" s="23">
        <f ca="1"/>
        <v>-8.3915652557661176</v>
      </c>
      <c r="I51" s="23">
        <f ca="1"/>
        <v>38.300472247342306</v>
      </c>
      <c r="J51" s="23">
        <f t="shared" ca="1" si="13"/>
        <v>-39.19800326714126</v>
      </c>
      <c r="K51" s="23">
        <f t="shared" ca="1" si="14"/>
        <v>-0.92794486926879394</v>
      </c>
      <c r="W51" s="43">
        <v>50</v>
      </c>
      <c r="X51" s="43">
        <v>50</v>
      </c>
      <c r="Y51" s="43">
        <v>3.1415926535897931</v>
      </c>
      <c r="Z51" s="23">
        <f t="shared" ca="1" si="15"/>
        <v>10.80199673285874</v>
      </c>
      <c r="AA51" s="23">
        <f t="shared" ca="1" si="16"/>
        <v>29.072055130731208</v>
      </c>
      <c r="AB51" s="23">
        <f t="shared" ca="1" si="17"/>
        <v>30.599214322902661</v>
      </c>
      <c r="AC51" s="23">
        <f t="shared" ca="1" si="18"/>
        <v>-5.0552552618076927</v>
      </c>
      <c r="AD51" s="23">
        <f t="shared" ca="1" si="19"/>
        <v>43.35572750915</v>
      </c>
      <c r="AE51" s="23">
        <f t="shared" ca="1" si="20"/>
        <v>0.86340797239540068</v>
      </c>
      <c r="AF51" s="23">
        <f t="shared" ca="1" si="21"/>
        <v>1.8131567420303414</v>
      </c>
      <c r="AG51" s="23">
        <f t="shared" ca="1" si="22"/>
        <v>5.696199900569324</v>
      </c>
      <c r="AH51" s="23">
        <f t="shared" ca="1" si="23"/>
        <v>-28.795744519661532</v>
      </c>
      <c r="AI51" s="23">
        <f t="shared" ca="1" si="24"/>
        <v>174.29924158361757</v>
      </c>
    </row>
    <row r="52" spans="1:35" x14ac:dyDescent="0.2">
      <c r="A52" s="43">
        <v>0</v>
      </c>
      <c r="B52" s="43">
        <v>20</v>
      </c>
      <c r="C52" s="43">
        <f t="shared" ca="1" si="9"/>
        <v>-39.19800326714126</v>
      </c>
      <c r="D52" s="43">
        <f t="shared" ca="1" si="10"/>
        <v>-0.92794486926879216</v>
      </c>
      <c r="E52" s="43">
        <f t="shared" ca="1" si="11"/>
        <v>-8.3915652557661176</v>
      </c>
      <c r="F52" s="43">
        <f t="shared" ca="1" si="12"/>
        <v>38.300472247342306</v>
      </c>
      <c r="H52" s="23">
        <f ca="1"/>
        <v>-28.023975625281196</v>
      </c>
      <c r="I52" s="23">
        <f ca="1"/>
        <v>34.483606637583847</v>
      </c>
      <c r="J52" s="23">
        <f t="shared" ca="1" si="13"/>
        <v>-39.198003267141267</v>
      </c>
      <c r="K52" s="23">
        <f t="shared" ca="1" si="14"/>
        <v>-20.927944869268796</v>
      </c>
      <c r="W52" s="43">
        <v>35</v>
      </c>
      <c r="X52" s="43">
        <v>50</v>
      </c>
      <c r="Y52" s="43">
        <v>3.1415926535897931</v>
      </c>
      <c r="Z52" s="23">
        <f t="shared" ca="1" si="15"/>
        <v>-4.1980032671412602</v>
      </c>
      <c r="AA52" s="23">
        <f t="shared" ca="1" si="16"/>
        <v>29.072055130731208</v>
      </c>
      <c r="AB52" s="23">
        <f t="shared" ca="1" si="17"/>
        <v>27.736565115583812</v>
      </c>
      <c r="AC52" s="23">
        <f t="shared" ca="1" si="18"/>
        <v>9.669052515328616</v>
      </c>
      <c r="AD52" s="23">
        <f t="shared" ca="1" si="19"/>
        <v>28.63141973201369</v>
      </c>
      <c r="AE52" s="23">
        <f t="shared" ca="1" si="20"/>
        <v>-0.44866799362746285</v>
      </c>
      <c r="AF52" s="23">
        <f t="shared" ca="1" si="21"/>
        <v>-0.94220278661767198</v>
      </c>
      <c r="AG52" s="23">
        <f t="shared" ca="1" si="22"/>
        <v>-2.9600173526299098</v>
      </c>
      <c r="AH52" s="23">
        <f t="shared" ca="1" si="23"/>
        <v>-28.620563228862579</v>
      </c>
      <c r="AI52" s="23">
        <f t="shared" ca="1" si="24"/>
        <v>-82.100714044477499</v>
      </c>
    </row>
    <row r="53" spans="1:35" x14ac:dyDescent="0.2">
      <c r="A53" s="44">
        <v>0</v>
      </c>
      <c r="B53" s="44">
        <v>0</v>
      </c>
      <c r="C53" s="44">
        <f t="shared" ca="1" si="9"/>
        <v>-39.19800326714126</v>
      </c>
      <c r="D53" s="44">
        <f t="shared" ca="1" si="10"/>
        <v>-20.927944869268792</v>
      </c>
      <c r="E53" s="44">
        <f t="shared" ca="1" si="11"/>
        <v>-28.023975625281196</v>
      </c>
      <c r="F53" s="44">
        <f t="shared" ca="1" si="12"/>
        <v>34.483606637583847</v>
      </c>
      <c r="H53" s="23">
        <f ca="1"/>
        <v>-28.023975625281196</v>
      </c>
      <c r="I53" s="23">
        <f ca="1"/>
        <v>34.483606637583847</v>
      </c>
      <c r="J53" s="23">
        <f t="shared" ca="1" si="13"/>
        <v>-39.198003267141267</v>
      </c>
      <c r="K53" s="23">
        <f t="shared" ca="1" si="14"/>
        <v>-20.927944869268796</v>
      </c>
      <c r="W53" s="43">
        <v>35</v>
      </c>
      <c r="X53" s="43">
        <v>15</v>
      </c>
      <c r="Y53" s="43">
        <v>3.1415926535897931</v>
      </c>
      <c r="Z53" s="23">
        <f t="shared" ca="1" si="15"/>
        <v>-4.1980032671412602</v>
      </c>
      <c r="AA53" s="23">
        <f t="shared" ca="1" si="16"/>
        <v>-5.9279448692687922</v>
      </c>
      <c r="AB53" s="23">
        <f t="shared" ca="1" si="17"/>
        <v>-6.6201530310675745</v>
      </c>
      <c r="AC53" s="23">
        <f t="shared" ca="1" si="18"/>
        <v>2.9895376982513033</v>
      </c>
      <c r="AD53" s="23">
        <f t="shared" ca="1" si="19"/>
        <v>35.310934549091002</v>
      </c>
      <c r="AE53" s="23">
        <f t="shared" ca="1" si="20"/>
        <v>0.14654035088903816</v>
      </c>
      <c r="AF53" s="23">
        <f t="shared" ca="1" si="21"/>
        <v>0.30773473686698016</v>
      </c>
      <c r="AG53" s="23">
        <f t="shared" ca="1" si="22"/>
        <v>0.96677718859569295</v>
      </c>
      <c r="AH53" s="23">
        <f t="shared" ca="1" si="23"/>
        <v>2.8902168511162341</v>
      </c>
      <c r="AI53" s="23">
        <f t="shared" ca="1" si="24"/>
        <v>-6.4002129354487645</v>
      </c>
    </row>
    <row r="54" spans="1:35" x14ac:dyDescent="0.2">
      <c r="H54" s="23" t="e">
        <f ca="1"/>
        <v>#N/A</v>
      </c>
      <c r="I54" s="23" t="e">
        <f ca="1"/>
        <v>#N/A</v>
      </c>
      <c r="J54" s="23" t="e">
        <f t="shared" ca="1" si="13"/>
        <v>#N/A</v>
      </c>
      <c r="K54" s="23" t="e">
        <f t="shared" ca="1" si="14"/>
        <v>#N/A</v>
      </c>
      <c r="W54" s="43">
        <v>5</v>
      </c>
      <c r="X54" s="43">
        <v>15</v>
      </c>
      <c r="Y54" s="43">
        <v>3.1415926535897931</v>
      </c>
      <c r="Z54" s="23">
        <f t="shared" ca="1" si="15"/>
        <v>-34.19800326714126</v>
      </c>
      <c r="AA54" s="23">
        <f t="shared" ca="1" si="16"/>
        <v>-5.9279448692687922</v>
      </c>
      <c r="AB54" s="23">
        <f t="shared" ca="1" si="17"/>
        <v>-12.345451445705271</v>
      </c>
      <c r="AC54" s="23">
        <f t="shared" ca="1" si="18"/>
        <v>32.438153252523925</v>
      </c>
      <c r="AD54" s="23">
        <f t="shared" ca="1" si="19"/>
        <v>5.8623189948183807</v>
      </c>
      <c r="AE54" s="23">
        <f t="shared" ca="1" si="20"/>
        <v>-2.4776115811566886</v>
      </c>
      <c r="AF54" s="23">
        <f t="shared" ca="1" si="21"/>
        <v>-4.0214998148381706</v>
      </c>
      <c r="AG54" s="23">
        <f t="shared" ca="1" si="22"/>
        <v>-12.63391427470831</v>
      </c>
      <c r="AH54" s="23">
        <f t="shared" ca="1" si="23"/>
        <v>-409.82084742223782</v>
      </c>
      <c r="AI54" s="23">
        <f t="shared" ca="1" si="24"/>
        <v>155.97137524761416</v>
      </c>
    </row>
    <row r="55" spans="1:35" x14ac:dyDescent="0.2">
      <c r="H55" s="27" t="e">
        <f ca="1"/>
        <v>#N/A</v>
      </c>
      <c r="I55" s="27" t="e">
        <f ca="1"/>
        <v>#N/A</v>
      </c>
      <c r="J55" s="27" t="e">
        <f t="shared" ca="1" si="13"/>
        <v>#N/A</v>
      </c>
      <c r="K55" s="27" t="e">
        <f t="shared" ca="1" si="14"/>
        <v>#N/A</v>
      </c>
      <c r="W55" s="43">
        <v>20</v>
      </c>
      <c r="X55" s="43">
        <v>5</v>
      </c>
      <c r="Y55" s="43">
        <v>3.1415926535897931</v>
      </c>
      <c r="Z55" s="23">
        <f t="shared" ca="1" si="15"/>
        <v>-19.19800326714126</v>
      </c>
      <c r="AA55" s="23">
        <f t="shared" ca="1" si="16"/>
        <v>-15.927944869268792</v>
      </c>
      <c r="AB55" s="23">
        <f t="shared" ca="1" si="17"/>
        <v>-19.299007423143962</v>
      </c>
      <c r="AC55" s="23">
        <f t="shared" ca="1" si="18"/>
        <v>15.805412670508382</v>
      </c>
      <c r="AD55" s="23">
        <f t="shared" ca="1" si="19"/>
        <v>22.495059576833924</v>
      </c>
      <c r="AE55" s="23">
        <f t="shared" ca="1" si="20"/>
        <v>-0.99547608812911059</v>
      </c>
      <c r="AF55" s="23">
        <f t="shared" ca="1" si="21"/>
        <v>-1.9119997906441668</v>
      </c>
      <c r="AG55" s="23">
        <f t="shared" ca="1" si="22"/>
        <v>-6.0067244959529367</v>
      </c>
      <c r="AH55" s="23">
        <f t="shared" ca="1" si="23"/>
        <v>-94.938759456587619</v>
      </c>
      <c r="AI55" s="23">
        <f t="shared" ca="1" si="24"/>
        <v>115.9238206361764</v>
      </c>
    </row>
    <row r="56" spans="1:35" x14ac:dyDescent="0.2">
      <c r="W56" s="43">
        <v>65</v>
      </c>
      <c r="X56" s="43">
        <v>15</v>
      </c>
      <c r="Y56" s="43">
        <v>3.1415926535897931</v>
      </c>
      <c r="Z56" s="23">
        <f t="shared" ca="1" si="15"/>
        <v>25.80199673285874</v>
      </c>
      <c r="AA56" s="23">
        <f t="shared" ca="1" si="16"/>
        <v>-5.9279448692687922</v>
      </c>
      <c r="AB56" s="23">
        <f t="shared" ca="1" si="17"/>
        <v>-0.89485461642987829</v>
      </c>
      <c r="AC56" s="23">
        <f t="shared" ca="1" si="18"/>
        <v>-26.459077856021313</v>
      </c>
      <c r="AD56" s="23">
        <f t="shared" ca="1" si="19"/>
        <v>64.759550103363622</v>
      </c>
      <c r="AE56" s="23">
        <f t="shared" ca="1" si="20"/>
        <v>2.7706922829347649</v>
      </c>
      <c r="AF56" s="23">
        <f t="shared" ca="1" si="21"/>
        <v>4.1999998092651367</v>
      </c>
      <c r="AG56" s="23">
        <f t="shared" ca="1" si="22"/>
        <v>13.194688545865885</v>
      </c>
      <c r="AH56" s="23">
        <f t="shared" ca="1" si="23"/>
        <v>-349.11929152101811</v>
      </c>
      <c r="AI56" s="23">
        <f t="shared" ca="1" si="24"/>
        <v>-11.807327957622526</v>
      </c>
    </row>
    <row r="57" spans="1:35" x14ac:dyDescent="0.2">
      <c r="W57" s="43">
        <v>50</v>
      </c>
      <c r="X57" s="43">
        <v>37.5</v>
      </c>
      <c r="Y57" s="43">
        <v>3.1415926535897931</v>
      </c>
      <c r="Z57" s="23">
        <f t="shared" ca="1" si="15"/>
        <v>10.80199673285874</v>
      </c>
      <c r="AA57" s="23">
        <f t="shared" ca="1" si="16"/>
        <v>16.572055130731208</v>
      </c>
      <c r="AB57" s="23">
        <f t="shared" ca="1" si="17"/>
        <v>18.328957841955738</v>
      </c>
      <c r="AC57" s="23">
        <f t="shared" ca="1" si="18"/>
        <v>-7.440796267906733</v>
      </c>
      <c r="AD57" s="23">
        <f t="shared" ca="1" si="19"/>
        <v>45.74126851524904</v>
      </c>
      <c r="AE57" s="23">
        <f t="shared" ca="1" si="20"/>
        <v>1.0759823811512939</v>
      </c>
      <c r="AF57" s="23">
        <f t="shared" ca="1" si="21"/>
        <v>2.259563000417717</v>
      </c>
      <c r="AG57" s="23">
        <f t="shared" ca="1" si="22"/>
        <v>7.0986265224356107</v>
      </c>
      <c r="AH57" s="23">
        <f t="shared" ca="1" si="23"/>
        <v>-52.81943373540264</v>
      </c>
      <c r="AI57" s="23">
        <f t="shared" ca="1" si="24"/>
        <v>130.11042626551117</v>
      </c>
    </row>
    <row r="58" spans="1:35" x14ac:dyDescent="0.2">
      <c r="W58" s="43">
        <v>35</v>
      </c>
      <c r="X58" s="43">
        <v>26.666666666666664</v>
      </c>
      <c r="Y58" s="43">
        <v>3.1415926535897931</v>
      </c>
      <c r="Z58" s="23">
        <f t="shared" ca="1" si="15"/>
        <v>-4.1980032671412602</v>
      </c>
      <c r="AA58" s="23">
        <f t="shared" ca="1" si="16"/>
        <v>5.7387217973978721</v>
      </c>
      <c r="AB58" s="23">
        <f t="shared" ca="1" si="17"/>
        <v>4.8320863511495524</v>
      </c>
      <c r="AC58" s="23">
        <f t="shared" ca="1" si="18"/>
        <v>5.2160426372770736</v>
      </c>
      <c r="AD58" s="23">
        <f t="shared" ca="1" si="19"/>
        <v>33.084429610065229</v>
      </c>
      <c r="AE58" s="23">
        <f t="shared" ca="1" si="20"/>
        <v>-5.1862430616462375E-2</v>
      </c>
      <c r="AF58" s="23">
        <f t="shared" ca="1" si="21"/>
        <v>-0.10891110429457099</v>
      </c>
      <c r="AG58" s="23">
        <f t="shared" ca="1" si="22"/>
        <v>-0.342154325146176</v>
      </c>
      <c r="AH58" s="23">
        <f t="shared" ca="1" si="23"/>
        <v>-1.7846915484912171</v>
      </c>
      <c r="AI58" s="23">
        <f t="shared" ca="1" si="24"/>
        <v>-1.6533192445256231</v>
      </c>
    </row>
    <row r="59" spans="1:35" x14ac:dyDescent="0.2">
      <c r="W59" s="43">
        <v>35</v>
      </c>
      <c r="X59" s="43">
        <v>38.333333333333329</v>
      </c>
      <c r="Y59" s="43">
        <v>3.1415926535897931</v>
      </c>
      <c r="Z59" s="23">
        <f t="shared" ca="1" si="15"/>
        <v>-4.1980032671412602</v>
      </c>
      <c r="AA59" s="23">
        <f t="shared" ca="1" si="16"/>
        <v>17.405388464064536</v>
      </c>
      <c r="AB59" s="23">
        <f t="shared" ca="1" si="17"/>
        <v>16.284325733366678</v>
      </c>
      <c r="AC59" s="23">
        <f t="shared" ca="1" si="18"/>
        <v>7.4425475763028439</v>
      </c>
      <c r="AD59" s="23">
        <f t="shared" ca="1" si="19"/>
        <v>30.857924671039463</v>
      </c>
      <c r="AE59" s="23">
        <f t="shared" ca="1" si="20"/>
        <v>-0.25026521212196229</v>
      </c>
      <c r="AF59" s="23">
        <f t="shared" ca="1" si="21"/>
        <v>-0.52555694545612086</v>
      </c>
      <c r="AG59" s="23">
        <f t="shared" ca="1" si="22"/>
        <v>-1.6510858388880409</v>
      </c>
      <c r="AH59" s="23">
        <f t="shared" ca="1" si="23"/>
        <v>-12.288284908484137</v>
      </c>
      <c r="AI59" s="23">
        <f t="shared" ca="1" si="24"/>
        <v>-26.886819614201833</v>
      </c>
    </row>
    <row r="60" spans="1:35" x14ac:dyDescent="0.2">
      <c r="W60" s="43">
        <v>20</v>
      </c>
      <c r="X60" s="43">
        <v>15</v>
      </c>
      <c r="Y60" s="43">
        <v>3.1415926535897931</v>
      </c>
      <c r="Z60" s="23">
        <f t="shared" ca="1" si="15"/>
        <v>-19.19800326714126</v>
      </c>
      <c r="AA60" s="23">
        <f t="shared" ca="1" si="16"/>
        <v>-5.9279448692687922</v>
      </c>
      <c r="AB60" s="23">
        <f t="shared" ca="1" si="17"/>
        <v>-9.482802238386423</v>
      </c>
      <c r="AC60" s="23">
        <f t="shared" ca="1" si="18"/>
        <v>17.713845475387615</v>
      </c>
      <c r="AD60" s="23">
        <f t="shared" ca="1" si="19"/>
        <v>20.586626771954691</v>
      </c>
      <c r="AE60" s="23">
        <f t="shared" ca="1" si="20"/>
        <v>-1.1655356151338252</v>
      </c>
      <c r="AF60" s="23">
        <f t="shared" ca="1" si="21"/>
        <v>-2.2691247973540674</v>
      </c>
      <c r="AG60" s="23">
        <f t="shared" ca="1" si="22"/>
        <v>-7.1286657934459656</v>
      </c>
      <c r="AH60" s="23">
        <f t="shared" ca="1" si="23"/>
        <v>-126.27608431078328</v>
      </c>
      <c r="AI60" s="23">
        <f t="shared" ca="1" si="24"/>
        <v>67.599727942798125</v>
      </c>
    </row>
    <row r="61" spans="1:35" x14ac:dyDescent="0.2">
      <c r="W61" s="43" t="e">
        <v>#N/A</v>
      </c>
      <c r="X61" s="43" t="e">
        <v>#N/A</v>
      </c>
      <c r="Y61" s="43" t="e">
        <v>#N/A</v>
      </c>
      <c r="Z61" s="23" t="e">
        <f t="shared" ca="1" si="15"/>
        <v>#N/A</v>
      </c>
      <c r="AA61" s="23" t="e">
        <f t="shared" ca="1" si="16"/>
        <v>#N/A</v>
      </c>
      <c r="AB61" s="23" t="e">
        <f t="shared" ca="1" si="17"/>
        <v>#N/A</v>
      </c>
      <c r="AC61" s="23" t="e">
        <f t="shared" ca="1" si="18"/>
        <v>#N/A</v>
      </c>
      <c r="AD61" s="23" t="e">
        <f t="shared" ca="1" si="19"/>
        <v>#N/A</v>
      </c>
      <c r="AE61" s="23" t="e">
        <f t="shared" ca="1" si="20"/>
        <v>#N/A</v>
      </c>
      <c r="AF61" s="23" t="e">
        <f t="shared" ca="1" si="21"/>
        <v>#N/A</v>
      </c>
      <c r="AG61" s="23" t="e">
        <f t="shared" ca="1" si="22"/>
        <v>#N/A</v>
      </c>
      <c r="AH61" s="23" t="e">
        <f t="shared" ca="1" si="23"/>
        <v>#N/A</v>
      </c>
      <c r="AI61" s="23" t="e">
        <f t="shared" ca="1" si="24"/>
        <v>#N/A</v>
      </c>
    </row>
    <row r="62" spans="1:35" x14ac:dyDescent="0.2">
      <c r="W62" s="43" t="e">
        <v>#N/A</v>
      </c>
      <c r="X62" s="43" t="e">
        <v>#N/A</v>
      </c>
      <c r="Y62" s="43" t="e">
        <v>#N/A</v>
      </c>
      <c r="Z62" s="23" t="e">
        <f t="shared" ca="1" si="15"/>
        <v>#N/A</v>
      </c>
      <c r="AA62" s="23" t="e">
        <f t="shared" ca="1" si="16"/>
        <v>#N/A</v>
      </c>
      <c r="AB62" s="23" t="e">
        <f t="shared" ca="1" si="17"/>
        <v>#N/A</v>
      </c>
      <c r="AC62" s="23" t="e">
        <f t="shared" ca="1" si="18"/>
        <v>#N/A</v>
      </c>
      <c r="AD62" s="23" t="e">
        <f t="shared" ca="1" si="19"/>
        <v>#N/A</v>
      </c>
      <c r="AE62" s="23" t="e">
        <f t="shared" ca="1" si="20"/>
        <v>#N/A</v>
      </c>
      <c r="AF62" s="23" t="e">
        <f t="shared" ca="1" si="21"/>
        <v>#N/A</v>
      </c>
      <c r="AG62" s="23" t="e">
        <f t="shared" ca="1" si="22"/>
        <v>#N/A</v>
      </c>
      <c r="AH62" s="23" t="e">
        <f t="shared" ca="1" si="23"/>
        <v>#N/A</v>
      </c>
      <c r="AI62" s="23" t="e">
        <f t="shared" ca="1" si="24"/>
        <v>#N/A</v>
      </c>
    </row>
    <row r="63" spans="1:35" x14ac:dyDescent="0.2">
      <c r="W63" s="43" t="e">
        <v>#N/A</v>
      </c>
      <c r="X63" s="43" t="e">
        <v>#N/A</v>
      </c>
      <c r="Y63" s="43" t="e">
        <v>#N/A</v>
      </c>
      <c r="Z63" s="23" t="e">
        <f t="shared" ca="1" si="15"/>
        <v>#N/A</v>
      </c>
      <c r="AA63" s="23" t="e">
        <f t="shared" ca="1" si="16"/>
        <v>#N/A</v>
      </c>
      <c r="AB63" s="23" t="e">
        <f t="shared" ca="1" si="17"/>
        <v>#N/A</v>
      </c>
      <c r="AC63" s="23" t="e">
        <f t="shared" ca="1" si="18"/>
        <v>#N/A</v>
      </c>
      <c r="AD63" s="23" t="e">
        <f t="shared" ca="1" si="19"/>
        <v>#N/A</v>
      </c>
      <c r="AE63" s="23" t="e">
        <f t="shared" ca="1" si="20"/>
        <v>#N/A</v>
      </c>
      <c r="AF63" s="23" t="e">
        <f t="shared" ca="1" si="21"/>
        <v>#N/A</v>
      </c>
      <c r="AG63" s="23" t="e">
        <f t="shared" ca="1" si="22"/>
        <v>#N/A</v>
      </c>
      <c r="AH63" s="23" t="e">
        <f t="shared" ca="1" si="23"/>
        <v>#N/A</v>
      </c>
      <c r="AI63" s="23" t="e">
        <f t="shared" ca="1" si="24"/>
        <v>#N/A</v>
      </c>
    </row>
    <row r="64" spans="1:35" x14ac:dyDescent="0.2">
      <c r="W64" s="43" t="e">
        <v>#N/A</v>
      </c>
      <c r="X64" s="43" t="e">
        <v>#N/A</v>
      </c>
      <c r="Y64" s="43" t="e">
        <v>#N/A</v>
      </c>
      <c r="Z64" s="23" t="e">
        <f t="shared" ca="1" si="15"/>
        <v>#N/A</v>
      </c>
      <c r="AA64" s="23" t="e">
        <f t="shared" ca="1" si="16"/>
        <v>#N/A</v>
      </c>
      <c r="AB64" s="23" t="e">
        <f t="shared" ca="1" si="17"/>
        <v>#N/A</v>
      </c>
      <c r="AC64" s="23" t="e">
        <f t="shared" ca="1" si="18"/>
        <v>#N/A</v>
      </c>
      <c r="AD64" s="23" t="e">
        <f t="shared" ca="1" si="19"/>
        <v>#N/A</v>
      </c>
      <c r="AE64" s="23" t="e">
        <f t="shared" ca="1" si="20"/>
        <v>#N/A</v>
      </c>
      <c r="AF64" s="23" t="e">
        <f t="shared" ca="1" si="21"/>
        <v>#N/A</v>
      </c>
      <c r="AG64" s="23" t="e">
        <f t="shared" ca="1" si="22"/>
        <v>#N/A</v>
      </c>
      <c r="AH64" s="23" t="e">
        <f t="shared" ca="1" si="23"/>
        <v>#N/A</v>
      </c>
      <c r="AI64" s="23" t="e">
        <f t="shared" ca="1" si="24"/>
        <v>#N/A</v>
      </c>
    </row>
    <row r="65" spans="23:35" x14ac:dyDescent="0.2">
      <c r="W65" s="43" t="e">
        <v>#N/A</v>
      </c>
      <c r="X65" s="43" t="e">
        <v>#N/A</v>
      </c>
      <c r="Y65" s="43" t="e">
        <v>#N/A</v>
      </c>
      <c r="Z65" s="23" t="e">
        <f t="shared" ca="1" si="15"/>
        <v>#N/A</v>
      </c>
      <c r="AA65" s="23" t="e">
        <f t="shared" ca="1" si="16"/>
        <v>#N/A</v>
      </c>
      <c r="AB65" s="23" t="e">
        <f t="shared" ca="1" si="17"/>
        <v>#N/A</v>
      </c>
      <c r="AC65" s="23" t="e">
        <f t="shared" ca="1" si="18"/>
        <v>#N/A</v>
      </c>
      <c r="AD65" s="23" t="e">
        <f t="shared" ca="1" si="19"/>
        <v>#N/A</v>
      </c>
      <c r="AE65" s="23" t="e">
        <f t="shared" ca="1" si="20"/>
        <v>#N/A</v>
      </c>
      <c r="AF65" s="23" t="e">
        <f t="shared" ca="1" si="21"/>
        <v>#N/A</v>
      </c>
      <c r="AG65" s="23" t="e">
        <f t="shared" ca="1" si="22"/>
        <v>#N/A</v>
      </c>
      <c r="AH65" s="23" t="e">
        <f t="shared" ca="1" si="23"/>
        <v>#N/A</v>
      </c>
      <c r="AI65" s="23" t="e">
        <f t="shared" ca="1" si="24"/>
        <v>#N/A</v>
      </c>
    </row>
    <row r="66" spans="23:35" x14ac:dyDescent="0.2">
      <c r="W66" s="43" t="e">
        <v>#N/A</v>
      </c>
      <c r="X66" s="43" t="e">
        <v>#N/A</v>
      </c>
      <c r="Y66" s="43" t="e">
        <v>#N/A</v>
      </c>
      <c r="Z66" s="23" t="e">
        <f t="shared" ca="1" si="15"/>
        <v>#N/A</v>
      </c>
      <c r="AA66" s="23" t="e">
        <f t="shared" ca="1" si="16"/>
        <v>#N/A</v>
      </c>
      <c r="AB66" s="23" t="e">
        <f t="shared" ca="1" si="17"/>
        <v>#N/A</v>
      </c>
      <c r="AC66" s="23" t="e">
        <f t="shared" ca="1" si="18"/>
        <v>#N/A</v>
      </c>
      <c r="AD66" s="23" t="e">
        <f t="shared" ca="1" si="19"/>
        <v>#N/A</v>
      </c>
      <c r="AE66" s="23" t="e">
        <f t="shared" ca="1" si="20"/>
        <v>#N/A</v>
      </c>
      <c r="AF66" s="23" t="e">
        <f t="shared" ca="1" si="21"/>
        <v>#N/A</v>
      </c>
      <c r="AG66" s="23" t="e">
        <f t="shared" ca="1" si="22"/>
        <v>#N/A</v>
      </c>
      <c r="AH66" s="23" t="e">
        <f t="shared" ca="1" si="23"/>
        <v>#N/A</v>
      </c>
      <c r="AI66" s="23" t="e">
        <f t="shared" ca="1" si="24"/>
        <v>#N/A</v>
      </c>
    </row>
    <row r="67" spans="23:35" x14ac:dyDescent="0.2">
      <c r="W67" s="43" t="e">
        <v>#N/A</v>
      </c>
      <c r="X67" s="43" t="e">
        <v>#N/A</v>
      </c>
      <c r="Y67" s="43" t="e">
        <v>#N/A</v>
      </c>
      <c r="Z67" s="23" t="e">
        <f t="shared" ca="1" si="15"/>
        <v>#N/A</v>
      </c>
      <c r="AA67" s="23" t="e">
        <f t="shared" ca="1" si="16"/>
        <v>#N/A</v>
      </c>
      <c r="AB67" s="23" t="e">
        <f t="shared" ca="1" si="17"/>
        <v>#N/A</v>
      </c>
      <c r="AC67" s="23" t="e">
        <f t="shared" ca="1" si="18"/>
        <v>#N/A</v>
      </c>
      <c r="AD67" s="23" t="e">
        <f t="shared" ca="1" si="19"/>
        <v>#N/A</v>
      </c>
      <c r="AE67" s="23" t="e">
        <f t="shared" ca="1" si="20"/>
        <v>#N/A</v>
      </c>
      <c r="AF67" s="23" t="e">
        <f t="shared" ca="1" si="21"/>
        <v>#N/A</v>
      </c>
      <c r="AG67" s="23" t="e">
        <f t="shared" ca="1" si="22"/>
        <v>#N/A</v>
      </c>
      <c r="AH67" s="23" t="e">
        <f t="shared" ca="1" si="23"/>
        <v>#N/A</v>
      </c>
      <c r="AI67" s="23" t="e">
        <f t="shared" ca="1" si="24"/>
        <v>#N/A</v>
      </c>
    </row>
    <row r="68" spans="23:35" x14ac:dyDescent="0.2">
      <c r="W68" s="43" t="e">
        <v>#N/A</v>
      </c>
      <c r="X68" s="43" t="e">
        <v>#N/A</v>
      </c>
      <c r="Y68" s="43" t="e">
        <v>#N/A</v>
      </c>
      <c r="Z68" s="23" t="e">
        <f t="shared" ca="1" si="15"/>
        <v>#N/A</v>
      </c>
      <c r="AA68" s="23" t="e">
        <f t="shared" ca="1" si="16"/>
        <v>#N/A</v>
      </c>
      <c r="AB68" s="23" t="e">
        <f t="shared" ca="1" si="17"/>
        <v>#N/A</v>
      </c>
      <c r="AC68" s="23" t="e">
        <f t="shared" ca="1" si="18"/>
        <v>#N/A</v>
      </c>
      <c r="AD68" s="23" t="e">
        <f t="shared" ca="1" si="19"/>
        <v>#N/A</v>
      </c>
      <c r="AE68" s="23" t="e">
        <f t="shared" ca="1" si="20"/>
        <v>#N/A</v>
      </c>
      <c r="AF68" s="23" t="e">
        <f t="shared" ca="1" si="21"/>
        <v>#N/A</v>
      </c>
      <c r="AG68" s="23" t="e">
        <f t="shared" ca="1" si="22"/>
        <v>#N/A</v>
      </c>
      <c r="AH68" s="23" t="e">
        <f t="shared" ca="1" si="23"/>
        <v>#N/A</v>
      </c>
      <c r="AI68" s="23" t="e">
        <f t="shared" ca="1" si="24"/>
        <v>#N/A</v>
      </c>
    </row>
    <row r="69" spans="23:35" x14ac:dyDescent="0.2">
      <c r="W69" s="43" t="e">
        <v>#N/A</v>
      </c>
      <c r="X69" s="43" t="e">
        <v>#N/A</v>
      </c>
      <c r="Y69" s="43" t="e">
        <v>#N/A</v>
      </c>
      <c r="Z69" s="23" t="e">
        <f t="shared" ca="1" si="15"/>
        <v>#N/A</v>
      </c>
      <c r="AA69" s="23" t="e">
        <f t="shared" ca="1" si="16"/>
        <v>#N/A</v>
      </c>
      <c r="AB69" s="23" t="e">
        <f t="shared" ca="1" si="17"/>
        <v>#N/A</v>
      </c>
      <c r="AC69" s="23" t="e">
        <f t="shared" ca="1" si="18"/>
        <v>#N/A</v>
      </c>
      <c r="AD69" s="23" t="e">
        <f t="shared" ca="1" si="19"/>
        <v>#N/A</v>
      </c>
      <c r="AE69" s="23" t="e">
        <f t="shared" ca="1" si="20"/>
        <v>#N/A</v>
      </c>
      <c r="AF69" s="23" t="e">
        <f t="shared" ca="1" si="21"/>
        <v>#N/A</v>
      </c>
      <c r="AG69" s="23" t="e">
        <f t="shared" ca="1" si="22"/>
        <v>#N/A</v>
      </c>
      <c r="AH69" s="23" t="e">
        <f t="shared" ca="1" si="23"/>
        <v>#N/A</v>
      </c>
      <c r="AI69" s="23" t="e">
        <f t="shared" ca="1" si="24"/>
        <v>#N/A</v>
      </c>
    </row>
    <row r="70" spans="23:35" x14ac:dyDescent="0.2">
      <c r="W70" s="43" t="e">
        <v>#N/A</v>
      </c>
      <c r="X70" s="43" t="e">
        <v>#N/A</v>
      </c>
      <c r="Y70" s="43" t="e">
        <v>#N/A</v>
      </c>
      <c r="Z70" s="23" t="e">
        <f t="shared" ca="1" si="15"/>
        <v>#N/A</v>
      </c>
      <c r="AA70" s="23" t="e">
        <f t="shared" ca="1" si="16"/>
        <v>#N/A</v>
      </c>
      <c r="AB70" s="23" t="e">
        <f t="shared" ca="1" si="17"/>
        <v>#N/A</v>
      </c>
      <c r="AC70" s="23" t="e">
        <f t="shared" ca="1" si="18"/>
        <v>#N/A</v>
      </c>
      <c r="AD70" s="23" t="e">
        <f t="shared" ca="1" si="19"/>
        <v>#N/A</v>
      </c>
      <c r="AE70" s="23" t="e">
        <f t="shared" ca="1" si="20"/>
        <v>#N/A</v>
      </c>
      <c r="AF70" s="23" t="e">
        <f t="shared" ca="1" si="21"/>
        <v>#N/A</v>
      </c>
      <c r="AG70" s="23" t="e">
        <f t="shared" ca="1" si="22"/>
        <v>#N/A</v>
      </c>
      <c r="AH70" s="23" t="e">
        <f t="shared" ca="1" si="23"/>
        <v>#N/A</v>
      </c>
      <c r="AI70" s="23" t="e">
        <f t="shared" ca="1" si="24"/>
        <v>#N/A</v>
      </c>
    </row>
    <row r="71" spans="23:35" x14ac:dyDescent="0.2">
      <c r="W71" s="43" t="e">
        <v>#N/A</v>
      </c>
      <c r="X71" s="43" t="e">
        <v>#N/A</v>
      </c>
      <c r="Y71" s="43" t="e">
        <v>#N/A</v>
      </c>
      <c r="Z71" s="23" t="e">
        <f t="shared" ca="1" si="15"/>
        <v>#N/A</v>
      </c>
      <c r="AA71" s="23" t="e">
        <f t="shared" ca="1" si="16"/>
        <v>#N/A</v>
      </c>
      <c r="AB71" s="23" t="e">
        <f t="shared" ca="1" si="17"/>
        <v>#N/A</v>
      </c>
      <c r="AC71" s="23" t="e">
        <f t="shared" ca="1" si="18"/>
        <v>#N/A</v>
      </c>
      <c r="AD71" s="23" t="e">
        <f t="shared" ca="1" si="19"/>
        <v>#N/A</v>
      </c>
      <c r="AE71" s="23" t="e">
        <f t="shared" ca="1" si="20"/>
        <v>#N/A</v>
      </c>
      <c r="AF71" s="23" t="e">
        <f t="shared" ca="1" si="21"/>
        <v>#N/A</v>
      </c>
      <c r="AG71" s="23" t="e">
        <f t="shared" ca="1" si="22"/>
        <v>#N/A</v>
      </c>
      <c r="AH71" s="23" t="e">
        <f t="shared" ca="1" si="23"/>
        <v>#N/A</v>
      </c>
      <c r="AI71" s="23" t="e">
        <f t="shared" ca="1" si="24"/>
        <v>#N/A</v>
      </c>
    </row>
    <row r="72" spans="23:35" x14ac:dyDescent="0.2">
      <c r="W72" s="44" t="e">
        <v>#N/A</v>
      </c>
      <c r="X72" s="44" t="e">
        <v>#N/A</v>
      </c>
      <c r="Y72" s="44" t="e">
        <v>#N/A</v>
      </c>
      <c r="Z72" s="27" t="e">
        <f t="shared" ca="1" si="15"/>
        <v>#N/A</v>
      </c>
      <c r="AA72" s="27" t="e">
        <f t="shared" ca="1" si="16"/>
        <v>#N/A</v>
      </c>
      <c r="AB72" s="27" t="e">
        <f t="shared" ca="1" si="17"/>
        <v>#N/A</v>
      </c>
      <c r="AC72" s="27" t="e">
        <f t="shared" ca="1" si="18"/>
        <v>#N/A</v>
      </c>
      <c r="AD72" s="27" t="e">
        <f t="shared" ca="1" si="19"/>
        <v>#N/A</v>
      </c>
      <c r="AE72" s="27" t="e">
        <f t="shared" ca="1" si="20"/>
        <v>#N/A</v>
      </c>
      <c r="AF72" s="27" t="e">
        <f t="shared" ca="1" si="21"/>
        <v>#N/A</v>
      </c>
      <c r="AG72" s="27" t="e">
        <f t="shared" ca="1" si="22"/>
        <v>#N/A</v>
      </c>
      <c r="AH72" s="27" t="e">
        <f t="shared" ca="1" si="23"/>
        <v>#N/A</v>
      </c>
      <c r="AI72" s="27" t="e">
        <f t="shared" ca="1" si="24"/>
        <v>#N/A</v>
      </c>
    </row>
  </sheetData>
  <conditionalFormatting sqref="H45:I55">
    <cfRule type="containsErrors" dxfId="15" priority="3">
      <formula>ISERROR(H45)</formula>
    </cfRule>
  </conditionalFormatting>
  <conditionalFormatting sqref="J45:K55">
    <cfRule type="containsErrors" dxfId="14" priority="2">
      <formula>ISERROR(J45)</formula>
    </cfRule>
  </conditionalFormatting>
  <conditionalFormatting sqref="W45:AI72">
    <cfRule type="containsErrors" dxfId="13" priority="1">
      <formula>ISERROR(W45)</formula>
    </cfRule>
  </conditionalFormatting>
  <printOptions horizontalCentered="1" verticalCentered="1"/>
  <pageMargins left="0.59055118110236227" right="0.59055118110236227" top="0.59055118110236227" bottom="0.59055118110236227" header="0.39370078740157483" footer="0.39370078740157483"/>
  <pageSetup orientation="landscape" r:id="rId1"/>
  <ignoredErrors>
    <ignoredError sqref="J45:K55 Z45:AI72" evalError="1"/>
  </ignoredErrors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Fill="0" autoLine="0" r:id="rId5">
            <anchor moveWithCells="1">
              <from>
                <xdr:col>8</xdr:col>
                <xdr:colOff>95250</xdr:colOff>
                <xdr:row>17</xdr:row>
                <xdr:rowOff>19050</xdr:rowOff>
              </from>
              <to>
                <xdr:col>10</xdr:col>
                <xdr:colOff>295275</xdr:colOff>
                <xdr:row>18</xdr:row>
                <xdr:rowOff>133350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13</xdr:col>
                <xdr:colOff>123825</xdr:colOff>
                <xdr:row>12</xdr:row>
                <xdr:rowOff>19050</xdr:rowOff>
              </from>
              <to>
                <xdr:col>15</xdr:col>
                <xdr:colOff>323850</xdr:colOff>
                <xdr:row>14</xdr:row>
                <xdr:rowOff>0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506D4-A3D2-48DA-A033-9025CFA0AA69}">
  <sheetPr codeName="Sheet8"/>
  <dimension ref="A1:AS72"/>
  <sheetViews>
    <sheetView zoomScale="85" zoomScaleNormal="85" workbookViewId="0">
      <selection activeCell="O18" sqref="O18"/>
    </sheetView>
  </sheetViews>
  <sheetFormatPr defaultColWidth="5.7109375" defaultRowHeight="12.75" x14ac:dyDescent="0.2"/>
  <cols>
    <col min="1" max="19" width="6.5703125" style="2" customWidth="1"/>
    <col min="20" max="20" width="9.42578125" style="2" bestFit="1" customWidth="1"/>
    <col min="21" max="21" width="6.5703125" style="2" customWidth="1"/>
    <col min="22" max="22" width="5.7109375" style="2"/>
    <col min="23" max="23" width="6.7109375" style="2" bestFit="1" customWidth="1"/>
    <col min="24" max="24" width="6.28515625" style="2" customWidth="1"/>
    <col min="25" max="25" width="5.85546875" style="2" bestFit="1" customWidth="1"/>
    <col min="26" max="26" width="6.7109375" style="2" bestFit="1" customWidth="1"/>
    <col min="27" max="27" width="6.5703125" style="2" customWidth="1"/>
    <col min="28" max="39" width="5.85546875" style="2" bestFit="1" customWidth="1"/>
    <col min="40" max="40" width="5.7109375" style="2"/>
    <col min="41" max="44" width="5.85546875" style="2" bestFit="1" customWidth="1"/>
    <col min="45" max="16384" width="5.7109375" style="2"/>
  </cols>
  <sheetData>
    <row r="1" spans="1:44" x14ac:dyDescent="0.2">
      <c r="A1" s="58" t="s">
        <v>24</v>
      </c>
      <c r="B1" s="59"/>
      <c r="C1" s="59"/>
      <c r="D1" s="59"/>
      <c r="E1" s="59"/>
      <c r="F1" s="59"/>
      <c r="G1" s="59"/>
      <c r="H1" s="1"/>
      <c r="I1" s="60" t="s">
        <v>25</v>
      </c>
      <c r="J1" s="59"/>
      <c r="K1" s="59"/>
      <c r="L1" s="59"/>
      <c r="M1" s="59"/>
      <c r="N1" s="59"/>
      <c r="O1" s="59"/>
      <c r="P1" s="59"/>
      <c r="Q1" s="59"/>
      <c r="R1" s="59"/>
      <c r="S1" s="30"/>
      <c r="W1" s="3" t="s">
        <v>5</v>
      </c>
      <c r="X1" s="4">
        <v>0.85</v>
      </c>
      <c r="Z1" s="3" t="s">
        <v>26</v>
      </c>
      <c r="AA1" s="5">
        <f ca="1">MAX(OFFSET(AD45,0,0,COUNT($AD$45:$AD$72)))</f>
        <v>67.620359198906925</v>
      </c>
      <c r="AC1" s="6" t="s">
        <v>13</v>
      </c>
      <c r="AD1" s="7">
        <f>MIN(Q3:Q42)</f>
        <v>-220.53742980957031</v>
      </c>
      <c r="AI1" s="6" t="s">
        <v>13</v>
      </c>
      <c r="AJ1" s="7">
        <f>MAX(Q3:Q42)</f>
        <v>-112.76921844482422</v>
      </c>
    </row>
    <row r="2" spans="1:44" x14ac:dyDescent="0.2">
      <c r="A2" s="8" t="s">
        <v>126</v>
      </c>
      <c r="B2" s="9"/>
      <c r="C2" s="9"/>
      <c r="D2" s="9"/>
      <c r="E2" s="9"/>
      <c r="F2" s="9"/>
      <c r="G2" s="9"/>
      <c r="H2" s="9"/>
      <c r="I2" s="8" t="s">
        <v>123</v>
      </c>
      <c r="J2" s="9"/>
      <c r="K2" s="9"/>
      <c r="L2" s="9"/>
      <c r="M2" s="9"/>
      <c r="N2" s="9"/>
      <c r="O2" s="9"/>
      <c r="P2" s="10"/>
      <c r="Q2" s="6" t="s">
        <v>13</v>
      </c>
      <c r="R2" s="6" t="s">
        <v>19</v>
      </c>
      <c r="S2" s="6" t="s">
        <v>20</v>
      </c>
      <c r="T2" s="6" t="s">
        <v>22</v>
      </c>
      <c r="U2" s="6" t="s">
        <v>32</v>
      </c>
      <c r="W2" s="3" t="s">
        <v>33</v>
      </c>
      <c r="X2" s="4">
        <v>0.65</v>
      </c>
      <c r="Z2" s="3" t="s">
        <v>34</v>
      </c>
      <c r="AA2" s="5">
        <f ca="1">AA1/(1-X4/X5)</f>
        <v>25.357634699590093</v>
      </c>
      <c r="AC2" s="6" t="s">
        <v>18</v>
      </c>
      <c r="AD2" s="6" t="s">
        <v>35</v>
      </c>
      <c r="AE2" s="6" t="s">
        <v>13</v>
      </c>
      <c r="AF2" s="6" t="s">
        <v>19</v>
      </c>
      <c r="AG2" s="6" t="s">
        <v>20</v>
      </c>
      <c r="AI2" s="6" t="s">
        <v>18</v>
      </c>
      <c r="AJ2" s="6" t="s">
        <v>35</v>
      </c>
      <c r="AK2" s="6" t="s">
        <v>13</v>
      </c>
      <c r="AL2" s="6" t="s">
        <v>19</v>
      </c>
      <c r="AM2" s="6" t="s">
        <v>20</v>
      </c>
      <c r="AO2" s="6" t="s">
        <v>13</v>
      </c>
      <c r="AP2" s="6" t="s">
        <v>19</v>
      </c>
      <c r="AQ2" s="6" t="s">
        <v>20</v>
      </c>
      <c r="AR2" s="6" t="s">
        <v>32</v>
      </c>
    </row>
    <row r="3" spans="1:44" x14ac:dyDescent="0.2">
      <c r="A3" s="11" t="s">
        <v>3</v>
      </c>
      <c r="B3" s="12">
        <v>0.28000000000000003</v>
      </c>
      <c r="C3" s="13"/>
      <c r="D3" s="13"/>
      <c r="E3" s="13"/>
      <c r="F3" s="13"/>
      <c r="G3" s="13"/>
      <c r="H3" s="13"/>
      <c r="I3" s="6" t="s">
        <v>27</v>
      </c>
      <c r="J3" s="6" t="s">
        <v>29</v>
      </c>
      <c r="K3" s="6" t="s">
        <v>28</v>
      </c>
      <c r="L3" s="6" t="s">
        <v>30</v>
      </c>
      <c r="M3" s="6" t="s">
        <v>31</v>
      </c>
      <c r="N3" s="13"/>
      <c r="O3" s="13"/>
      <c r="P3" s="14"/>
      <c r="Q3" s="17">
        <v>-193.47468566894531</v>
      </c>
      <c r="R3" s="17">
        <v>1899.5633544921875</v>
      </c>
      <c r="S3" s="17">
        <v>746.16998291015625</v>
      </c>
      <c r="T3" s="18" t="s">
        <v>192</v>
      </c>
      <c r="U3" s="18">
        <f>IF(COUNT(Q3),S3*COS($X$6)+R3*SIN($X$6),"")</f>
        <v>2006.9577551076375</v>
      </c>
      <c r="W3" s="3" t="s">
        <v>36</v>
      </c>
      <c r="X3" s="4">
        <v>0.9</v>
      </c>
      <c r="Z3" s="3" t="s">
        <v>37</v>
      </c>
      <c r="AA3" s="5">
        <f ca="1">AA1/(1-X7/X5)</f>
        <v>40.572216256347595</v>
      </c>
      <c r="AC3" s="18">
        <v>0</v>
      </c>
      <c r="AD3" s="18">
        <f t="shared" ref="AD3:AD38" si="0">XCOMPRESST1($B$4,$B$5,$B$6,$B$15,$B$16,$B$17,$B$18,$B$19,$B$11,$B$12,$B$13,$B$7,$B$8,AC3,$AD$1,$B$3,$B$14)</f>
        <v>47.961349487304688</v>
      </c>
      <c r="AE3" s="18">
        <f t="array" ref="AE3:AG3">FLEXCOMPBIAXT1($B$4,$B$5,$B$6,$B$15,$B$16,$B$17,$B$18,$B$19,$B$11,$B$12,$B$13,$B$7,$B$8,AC3,AD3,$B$3,$B$14)</f>
        <v>-220.55418008625546</v>
      </c>
      <c r="AF3" s="18">
        <v>-687.32361203873154</v>
      </c>
      <c r="AG3" s="18">
        <v>2348.9938289338033</v>
      </c>
      <c r="AI3" s="18">
        <v>0</v>
      </c>
      <c r="AJ3" s="18">
        <f t="shared" ref="AJ3:AJ39" si="1">XCOMPRESST1($B$4,$B$5,$B$6,$B$15,$B$16,$B$17,$B$18,$B$19,$B$11,$B$12,$B$13,$B$7,$B$8,AI3,$AJ$1,$B$3,$B$14)</f>
        <v>37.784805297851563</v>
      </c>
      <c r="AK3" s="18">
        <f t="array" ref="AK3:AM3">FLEXCOMPBIAXT1($B$4,$B$5,$B$6,$B$15,$B$16,$B$17,$B$18,$B$19,$B$11,$B$12,$B$13,$B$7,$B$8,AI3,AJ3,$B$3,$B$14)</f>
        <v>-112.75392955795202</v>
      </c>
      <c r="AL3" s="18">
        <v>-1034.4482201176381</v>
      </c>
      <c r="AM3" s="18">
        <v>2787.6996171434903</v>
      </c>
      <c r="AO3" s="18">
        <f t="array" ref="AO3:AQ16">DIAGRAFLEXCOMPT1(B4,B5,B6,B15,B16,B17,B18,B19,B11,B12,B13,B7,B8,B9,B3,B14)</f>
        <v>190.00351506046883</v>
      </c>
      <c r="AP3" s="18">
        <v>-81.730058356260443</v>
      </c>
      <c r="AQ3" s="18">
        <v>98.076070027512174</v>
      </c>
      <c r="AR3" s="18">
        <f>AQ3*COS($X$6)+AP3*SIN($X$6)</f>
        <v>-61.539189339500268</v>
      </c>
    </row>
    <row r="4" spans="1:44" x14ac:dyDescent="0.2">
      <c r="A4" s="11" t="s">
        <v>0</v>
      </c>
      <c r="B4" s="12">
        <v>0.20999999344348907</v>
      </c>
      <c r="C4" s="13"/>
      <c r="D4" s="13"/>
      <c r="E4" s="13"/>
      <c r="F4" s="13"/>
      <c r="G4" s="13"/>
      <c r="H4" s="13"/>
      <c r="I4" s="19">
        <f t="array" ref="I4:K4">FLEXCOMPBIAXT1($B$4,$B$5,$B$6,$B$15,$B$16,$B$17,$B$18,$B$19,$B$11,$B$12,$B$13,$B$7,$B$8,$B$9,$B$10,$B$3,$B$14)</f>
        <v>-59.591736662831153</v>
      </c>
      <c r="J4" s="19">
        <v>4202.7818149855366</v>
      </c>
      <c r="K4" s="19">
        <v>-892.90840746757829</v>
      </c>
      <c r="L4" s="7">
        <f>K4*COS($X$6)+J4*SIN($X$6)</f>
        <v>3955.5580148447175</v>
      </c>
      <c r="M4" s="7">
        <f>SQRT(I4^2+J4^2+K4^2)</f>
        <v>4297.000300625763</v>
      </c>
      <c r="N4" s="13"/>
      <c r="O4" s="13"/>
      <c r="P4" s="14"/>
      <c r="Q4" s="22">
        <v>-195.07479858398438</v>
      </c>
      <c r="R4" s="22">
        <v>-1394.5313720703125</v>
      </c>
      <c r="S4" s="22">
        <v>1161.10400390625</v>
      </c>
      <c r="T4" s="23" t="s">
        <v>192</v>
      </c>
      <c r="U4" s="23">
        <f t="shared" ref="U4:U42" si="2">IF(COUNT(Q4),S4*COS($X$6)+R4*SIN($X$6),"")</f>
        <v>-1147.6691845551568</v>
      </c>
      <c r="W4" s="3" t="s">
        <v>7</v>
      </c>
      <c r="X4" s="4">
        <v>5</v>
      </c>
      <c r="Z4" s="3" t="s">
        <v>39</v>
      </c>
      <c r="AA4" s="5">
        <f ca="1">IF(B10&lt;AA2,X4/(B10-AA1),X5/B10)</f>
        <v>-8.9076615706958712E-2</v>
      </c>
      <c r="AC4" s="23">
        <v>10</v>
      </c>
      <c r="AD4" s="23">
        <f t="shared" si="0"/>
        <v>47.348189997336235</v>
      </c>
      <c r="AE4" s="23">
        <f t="array" ref="AE4:AG4">FLEXCOMPBIAXT1($B$4,$B$5,$B$6,$B$15,$B$16,$B$17,$B$18,$B$19,$B$11,$B$12,$B$13,$B$7,$B$8,AC4,AD4,$B$3,$B$14)</f>
        <v>-220.54398491401554</v>
      </c>
      <c r="AF4" s="23">
        <v>163.0000023284976</v>
      </c>
      <c r="AG4" s="23">
        <v>2272.4905239771715</v>
      </c>
      <c r="AI4" s="23">
        <v>10</v>
      </c>
      <c r="AJ4" s="23">
        <f t="shared" si="1"/>
        <v>37.078645283786358</v>
      </c>
      <c r="AK4" s="23">
        <f t="array" ref="AK4:AM4">FLEXCOMPBIAXT1($B$4,$B$5,$B$6,$B$15,$B$16,$B$17,$B$18,$B$19,$B$11,$B$12,$B$13,$B$7,$B$8,AI4,AJ4,$B$3,$B$14)</f>
        <v>-112.73869853587695</v>
      </c>
      <c r="AL4" s="23">
        <v>-243.28448929607509</v>
      </c>
      <c r="AM4" s="23">
        <v>2741.052244665399</v>
      </c>
      <c r="AO4" s="23">
        <v>165.36287292382423</v>
      </c>
      <c r="AP4" s="23">
        <v>660.01612272388866</v>
      </c>
      <c r="AQ4" s="23">
        <v>-80.62015109780485</v>
      </c>
      <c r="AR4" s="23">
        <f t="shared" ref="AR4:AR30" si="3">AQ4*COS($X$6)+AP4*SIN($X$6)</f>
        <v>632.55168897049145</v>
      </c>
    </row>
    <row r="5" spans="1:44" x14ac:dyDescent="0.2">
      <c r="A5" s="11" t="s">
        <v>1</v>
      </c>
      <c r="B5" s="12">
        <v>4.1999998092651367</v>
      </c>
      <c r="C5" s="13"/>
      <c r="D5" s="13"/>
      <c r="E5" s="13"/>
      <c r="F5" s="13"/>
      <c r="G5" s="13"/>
      <c r="H5" s="13"/>
      <c r="I5" s="7">
        <f>I4/M4</f>
        <v>-1.3868217941281721E-2</v>
      </c>
      <c r="J5" s="7">
        <f>J4/M4</f>
        <v>0.97807342819443011</v>
      </c>
      <c r="K5" s="7">
        <f>K4/M4</f>
        <v>-0.20779807889181343</v>
      </c>
      <c r="L5" s="13"/>
      <c r="M5" s="13"/>
      <c r="N5" s="13"/>
      <c r="O5" s="13"/>
      <c r="P5" s="14"/>
      <c r="Q5" s="22">
        <v>-218.93733215332031</v>
      </c>
      <c r="R5" s="22">
        <v>1772.7008056640625</v>
      </c>
      <c r="S5" s="22">
        <v>17.301162719726563</v>
      </c>
      <c r="T5" s="23" t="s">
        <v>23</v>
      </c>
      <c r="U5" s="23">
        <f t="shared" si="2"/>
        <v>1743.5029488142268</v>
      </c>
      <c r="W5" s="3" t="s">
        <v>8</v>
      </c>
      <c r="X5" s="4">
        <v>-3</v>
      </c>
      <c r="Z5" s="3" t="s">
        <v>40</v>
      </c>
      <c r="AA5" s="5">
        <f ca="1">MAX(OFFSET(AE45,0,0,COUNT($AE$45:$AE$72)))</f>
        <v>3.0233927503275426</v>
      </c>
      <c r="AC5" s="23">
        <v>20</v>
      </c>
      <c r="AD5" s="23">
        <f t="shared" si="0"/>
        <v>45.210165244796578</v>
      </c>
      <c r="AE5" s="23">
        <f t="array" ref="AE5:AG5">FLEXCOMPBIAXT1($B$4,$B$5,$B$6,$B$15,$B$16,$B$17,$B$18,$B$19,$B$11,$B$12,$B$13,$B$7,$B$8,AC5,AD5,$B$3,$B$14)</f>
        <v>-220.52609500174137</v>
      </c>
      <c r="AF5" s="23">
        <v>1020.5346676982407</v>
      </c>
      <c r="AG5" s="23">
        <v>2092.0364382446119</v>
      </c>
      <c r="AI5" s="23">
        <v>20</v>
      </c>
      <c r="AJ5" s="23">
        <f t="shared" si="1"/>
        <v>34.965104918629173</v>
      </c>
      <c r="AK5" s="23">
        <f t="array" ref="AK5:AM5">FLEXCOMPBIAXT1($B$4,$B$5,$B$6,$B$15,$B$16,$B$17,$B$18,$B$19,$B$11,$B$12,$B$13,$B$7,$B$8,AI5,AJ5,$B$3,$B$14)</f>
        <v>-112.78736489526398</v>
      </c>
      <c r="AL5" s="23">
        <v>540.07344594000597</v>
      </c>
      <c r="AM5" s="23">
        <v>2633.5633587358971</v>
      </c>
      <c r="AO5" s="23">
        <v>104.99716206123011</v>
      </c>
      <c r="AP5" s="23">
        <v>2475.6372331455045</v>
      </c>
      <c r="AQ5" s="23">
        <v>-504.86801676705898</v>
      </c>
      <c r="AR5" s="23">
        <f t="shared" si="3"/>
        <v>2334.0317278159023</v>
      </c>
    </row>
    <row r="6" spans="1:44" x14ac:dyDescent="0.2">
      <c r="A6" s="11" t="s">
        <v>2</v>
      </c>
      <c r="B6" s="12">
        <v>2100</v>
      </c>
      <c r="C6" s="13"/>
      <c r="D6" s="13"/>
      <c r="E6" s="13"/>
      <c r="F6" s="13"/>
      <c r="G6" s="13"/>
      <c r="H6" s="13"/>
      <c r="I6" s="24"/>
      <c r="J6" s="13"/>
      <c r="K6" s="13"/>
      <c r="L6" s="13"/>
      <c r="M6" s="13"/>
      <c r="N6" s="13"/>
      <c r="O6" s="13"/>
      <c r="P6" s="14"/>
      <c r="Q6" s="22">
        <v>-184.29052734375</v>
      </c>
      <c r="R6" s="22">
        <v>1676.9306640625</v>
      </c>
      <c r="S6" s="22">
        <v>17.845218658447266</v>
      </c>
      <c r="T6" s="23" t="s">
        <v>191</v>
      </c>
      <c r="U6" s="23">
        <f t="shared" si="2"/>
        <v>1649.5920616798983</v>
      </c>
      <c r="W6" s="3" t="s">
        <v>43</v>
      </c>
      <c r="X6" s="5">
        <f>RADIANS(B9)</f>
        <v>1.3790294748716174</v>
      </c>
      <c r="Z6" s="3" t="s">
        <v>44</v>
      </c>
      <c r="AA6" s="5">
        <f ca="1">IF(AA5&lt;X7,X2,IF(AA5&gt;X4,X3,X2+(X3-X2)*(AA5-X7)/(X4-X7)))</f>
        <v>0.73528273418083889</v>
      </c>
      <c r="AC6" s="23">
        <v>30</v>
      </c>
      <c r="AD6" s="23">
        <f t="shared" si="0"/>
        <v>41.536968174963135</v>
      </c>
      <c r="AE6" s="23">
        <f t="array" ref="AE6:AG6">FLEXCOMPBIAXT1($B$4,$B$5,$B$6,$B$15,$B$16,$B$17,$B$18,$B$19,$B$11,$B$12,$B$13,$B$7,$B$8,AC6,AD6,$B$3,$B$14)</f>
        <v>-220.56090355607427</v>
      </c>
      <c r="AF6" s="23">
        <v>1720.5294089028762</v>
      </c>
      <c r="AG6" s="23">
        <v>1887.9674934183527</v>
      </c>
      <c r="AI6" s="23">
        <v>30</v>
      </c>
      <c r="AJ6" s="23">
        <f t="shared" si="1"/>
        <v>30.976570428171456</v>
      </c>
      <c r="AK6" s="23">
        <f t="array" ref="AK6:AM6">FLEXCOMPBIAXT1($B$4,$B$5,$B$6,$B$15,$B$16,$B$17,$B$18,$B$19,$B$11,$B$12,$B$13,$B$7,$B$8,AI6,AJ6,$B$3,$B$14)</f>
        <v>-112.78671643001968</v>
      </c>
      <c r="AL6" s="23">
        <v>1458.1118996924581</v>
      </c>
      <c r="AM6" s="23">
        <v>2548.7136814633459</v>
      </c>
      <c r="AO6" s="23">
        <v>59.276988681391146</v>
      </c>
      <c r="AP6" s="23">
        <v>3562.3359602537812</v>
      </c>
      <c r="AQ6" s="23">
        <v>-764.20745076770447</v>
      </c>
      <c r="AR6" s="23">
        <f t="shared" si="3"/>
        <v>3351.3817481047849</v>
      </c>
    </row>
    <row r="7" spans="1:44" x14ac:dyDescent="0.2">
      <c r="A7" s="11" t="s">
        <v>109</v>
      </c>
      <c r="B7" s="12">
        <v>3</v>
      </c>
      <c r="C7" s="13"/>
      <c r="D7" s="13"/>
      <c r="E7" s="13"/>
      <c r="F7" s="13"/>
      <c r="G7" s="13"/>
      <c r="H7" s="13"/>
      <c r="I7" s="25" t="s">
        <v>124</v>
      </c>
      <c r="J7" s="13"/>
      <c r="K7" s="13"/>
      <c r="L7" s="13"/>
      <c r="M7" s="13"/>
      <c r="N7" s="13"/>
      <c r="O7" s="13"/>
      <c r="P7" s="14"/>
      <c r="Q7" s="22">
        <v>-193.10365295410156</v>
      </c>
      <c r="R7" s="22">
        <v>1509.0343017578125</v>
      </c>
      <c r="S7" s="22">
        <v>39.045375823974609</v>
      </c>
      <c r="T7" s="23" t="s">
        <v>128</v>
      </c>
      <c r="U7" s="23">
        <f t="shared" si="2"/>
        <v>1488.8140202210068</v>
      </c>
      <c r="W7" s="3" t="s">
        <v>45</v>
      </c>
      <c r="X7" s="5">
        <f>B5/B6*1000</f>
        <v>1.9999999091738747</v>
      </c>
      <c r="Z7" s="3" t="s">
        <v>46</v>
      </c>
      <c r="AA7" s="5">
        <f ca="1">SUM(OFFSET(AG45,0,0,COUNT($AG$45:$AG$72)))</f>
        <v>38.257553131578085</v>
      </c>
      <c r="AC7" s="23">
        <v>40</v>
      </c>
      <c r="AD7" s="23">
        <f t="shared" si="0"/>
        <v>37.578225069066953</v>
      </c>
      <c r="AE7" s="23">
        <f t="array" ref="AE7:AG7">FLEXCOMPBIAXT1($B$4,$B$5,$B$6,$B$15,$B$16,$B$17,$B$18,$B$19,$B$11,$B$12,$B$13,$B$7,$B$8,AC7,AD7,$B$3,$B$14)</f>
        <v>-220.5480099816412</v>
      </c>
      <c r="AF7" s="23">
        <v>2286.1764742779951</v>
      </c>
      <c r="AG7" s="23">
        <v>1636.1689331197033</v>
      </c>
      <c r="AI7" s="23">
        <v>40</v>
      </c>
      <c r="AJ7" s="23">
        <f t="shared" si="1"/>
        <v>25.915711234483929</v>
      </c>
      <c r="AK7" s="23">
        <f t="array" ref="AK7:AM7">FLEXCOMPBIAXT1($B$4,$B$5,$B$6,$B$15,$B$16,$B$17,$B$18,$B$19,$B$11,$B$12,$B$13,$B$7,$B$8,AI7,AJ7,$B$3,$B$14)</f>
        <v>-112.78967492229654</v>
      </c>
      <c r="AL7" s="23">
        <v>2714.4634328728644</v>
      </c>
      <c r="AM7" s="23">
        <v>2235.8033305117065</v>
      </c>
      <c r="AO7" s="23">
        <v>5.9485351015524088</v>
      </c>
      <c r="AP7" s="23">
        <v>4585.7562032299056</v>
      </c>
      <c r="AQ7" s="23">
        <v>-1012.5161869561347</v>
      </c>
      <c r="AR7" s="23">
        <f t="shared" si="3"/>
        <v>4308.7156221085106</v>
      </c>
    </row>
    <row r="8" spans="1:44" x14ac:dyDescent="0.2">
      <c r="A8" s="11" t="s">
        <v>4</v>
      </c>
      <c r="B8" s="12">
        <v>15</v>
      </c>
      <c r="C8" s="13"/>
      <c r="D8" s="13"/>
      <c r="E8" s="13"/>
      <c r="F8" s="13"/>
      <c r="G8" s="13"/>
      <c r="H8" s="13"/>
      <c r="I8" s="6" t="s">
        <v>41</v>
      </c>
      <c r="J8" s="6" t="s">
        <v>15</v>
      </c>
      <c r="K8" s="6" t="s">
        <v>14</v>
      </c>
      <c r="L8" s="6" t="s">
        <v>122</v>
      </c>
      <c r="M8" s="6" t="s">
        <v>42</v>
      </c>
      <c r="N8" s="13"/>
      <c r="O8" s="13"/>
      <c r="P8" s="14"/>
      <c r="Q8" s="22">
        <v>-193.0272216796875</v>
      </c>
      <c r="R8" s="22">
        <v>1504.3433837890625</v>
      </c>
      <c r="S8" s="22">
        <v>26.148242950439453</v>
      </c>
      <c r="T8" s="23" t="s">
        <v>204</v>
      </c>
      <c r="U8" s="23">
        <f t="shared" si="2"/>
        <v>1481.7509796927395</v>
      </c>
      <c r="W8" s="3" t="s">
        <v>6</v>
      </c>
      <c r="X8" s="5">
        <f>-X1*B4</f>
        <v>-0.17849999442696571</v>
      </c>
      <c r="Z8" s="3" t="s">
        <v>47</v>
      </c>
      <c r="AA8" s="5">
        <f ca="1">SUM(OFFSET(AH45,0,0,COUNT($AH$45:$AH$72)))</f>
        <v>-2607.7075170721928</v>
      </c>
      <c r="AC8" s="23">
        <v>50</v>
      </c>
      <c r="AD8" s="23">
        <f t="shared" si="0"/>
        <v>42.040489383408016</v>
      </c>
      <c r="AE8" s="23">
        <f t="array" ref="AE8:AG8">FLEXCOMPBIAXT1($B$4,$B$5,$B$6,$B$15,$B$16,$B$17,$B$18,$B$19,$B$11,$B$12,$B$13,$B$7,$B$8,AC8,AD8,$B$3,$B$14)</f>
        <v>-220.54193236929936</v>
      </c>
      <c r="AF8" s="23">
        <v>2602.7834133698902</v>
      </c>
      <c r="AG8" s="23">
        <v>1267.6628145322973</v>
      </c>
      <c r="AI8" s="23">
        <v>50</v>
      </c>
      <c r="AJ8" s="23">
        <f t="shared" si="1"/>
        <v>30.466141713132224</v>
      </c>
      <c r="AK8" s="23">
        <f t="array" ref="AK8:AM8">FLEXCOMPBIAXT1($B$4,$B$5,$B$6,$B$15,$B$16,$B$17,$B$18,$B$19,$B$11,$B$12,$B$13,$B$7,$B$8,AI8,AJ8,$B$3,$B$14)</f>
        <v>-112.74867582890496</v>
      </c>
      <c r="AL8" s="23">
        <v>3351.5017159682843</v>
      </c>
      <c r="AM8" s="23">
        <v>1250.4005909809664</v>
      </c>
      <c r="AO8" s="23">
        <v>-33.850586269682566</v>
      </c>
      <c r="AP8" s="23">
        <v>4417.0465271301973</v>
      </c>
      <c r="AQ8" s="23">
        <v>-988.42727752206781</v>
      </c>
      <c r="AR8" s="23">
        <f t="shared" si="3"/>
        <v>4147.6897535504013</v>
      </c>
    </row>
    <row r="9" spans="1:44" x14ac:dyDescent="0.2">
      <c r="A9" s="11" t="s">
        <v>18</v>
      </c>
      <c r="B9" s="12">
        <v>79.012568734285892</v>
      </c>
      <c r="C9" s="13"/>
      <c r="D9" s="13"/>
      <c r="E9" s="13"/>
      <c r="F9" s="13"/>
      <c r="G9" s="13"/>
      <c r="H9" s="13"/>
      <c r="I9" s="26">
        <v>-193.47468566894531</v>
      </c>
      <c r="J9" s="26">
        <v>1899.5633544921875</v>
      </c>
      <c r="K9" s="26">
        <v>746.16998291015625</v>
      </c>
      <c r="L9" s="7">
        <f t="shared" ref="L9" si="4">J9*COS($X$6)+K9*SIN($X$6)</f>
        <v>1094.5366768041381</v>
      </c>
      <c r="M9" s="7">
        <f>SQRT(I9^2+J9^2+K9^2)</f>
        <v>2050.0104963439703</v>
      </c>
      <c r="N9" s="13"/>
      <c r="O9" s="13"/>
      <c r="P9" s="14"/>
      <c r="Q9" s="22">
        <v>-192.93278503417969</v>
      </c>
      <c r="R9" s="22">
        <v>1502.942626953125</v>
      </c>
      <c r="S9" s="22">
        <v>26.592620849609375</v>
      </c>
      <c r="T9" s="23" t="s">
        <v>206</v>
      </c>
      <c r="U9" s="23">
        <f t="shared" si="2"/>
        <v>1480.4605957149981</v>
      </c>
      <c r="W9" s="3" t="s">
        <v>48</v>
      </c>
      <c r="X9" s="5">
        <f t="array" ref="X9:X11">MOMENTSPOLY(A45:B53)</f>
        <v>2500</v>
      </c>
      <c r="Z9" s="3" t="s">
        <v>49</v>
      </c>
      <c r="AA9" s="5">
        <f ca="1">SUM(OFFSET(AI45,0,0,COUNT($AI$45:$AI$72)))</f>
        <v>815.09462882695766</v>
      </c>
      <c r="AC9" s="23">
        <v>60</v>
      </c>
      <c r="AD9" s="23">
        <f t="shared" si="0"/>
        <v>46.559123004401542</v>
      </c>
      <c r="AE9" s="23">
        <f t="array" ref="AE9:AG9">FLEXCOMPBIAXT1($B$4,$B$5,$B$6,$B$15,$B$16,$B$17,$B$18,$B$19,$B$11,$B$12,$B$13,$B$7,$B$8,AC9,AD9,$B$3,$B$14)</f>
        <v>-220.5238528968946</v>
      </c>
      <c r="AF9" s="23">
        <v>2841.7943191982631</v>
      </c>
      <c r="AG9" s="23">
        <v>826.2854747849583</v>
      </c>
      <c r="AI9" s="23">
        <v>60</v>
      </c>
      <c r="AJ9" s="23">
        <f t="shared" si="1"/>
        <v>35.151697147155943</v>
      </c>
      <c r="AK9" s="23">
        <f t="array" ref="AK9:AM9">FLEXCOMPBIAXT1($B$4,$B$5,$B$6,$B$15,$B$16,$B$17,$B$18,$B$19,$B$11,$B$12,$B$13,$B$7,$B$8,AI9,AJ9,$B$3,$B$14)</f>
        <v>-112.75692505774477</v>
      </c>
      <c r="AL9" s="23">
        <v>3657.6014736836578</v>
      </c>
      <c r="AM9" s="23">
        <v>448.28304966349782</v>
      </c>
      <c r="AO9" s="23">
        <v>-82.476868535405544</v>
      </c>
      <c r="AP9" s="23">
        <v>3974.9753066243002</v>
      </c>
      <c r="AQ9" s="23">
        <v>-779.05189517263852</v>
      </c>
      <c r="AR9" s="23">
        <f t="shared" si="3"/>
        <v>3753.6277526267245</v>
      </c>
    </row>
    <row r="10" spans="1:44" x14ac:dyDescent="0.2">
      <c r="A10" s="11" t="s">
        <v>35</v>
      </c>
      <c r="B10" s="12">
        <v>33.678872689430641</v>
      </c>
      <c r="C10" s="13"/>
      <c r="D10" s="13"/>
      <c r="E10" s="13"/>
      <c r="F10" s="13"/>
      <c r="G10" s="13"/>
      <c r="H10" s="13"/>
      <c r="I10" s="27">
        <f>I9/M9</f>
        <v>-9.4377412220079809E-2</v>
      </c>
      <c r="J10" s="27">
        <f>J9/M9</f>
        <v>0.92661152607750386</v>
      </c>
      <c r="K10" s="27">
        <f>K9/M9</f>
        <v>0.36398349386058787</v>
      </c>
      <c r="L10" s="13"/>
      <c r="M10" s="13"/>
      <c r="N10" s="13"/>
      <c r="O10" s="13"/>
      <c r="P10" s="14"/>
      <c r="Q10" s="22">
        <v>-193.12612915039063</v>
      </c>
      <c r="R10" s="22">
        <v>1501.9039306640625</v>
      </c>
      <c r="S10" s="22">
        <v>27.013982772827148</v>
      </c>
      <c r="T10" s="23" t="s">
        <v>129</v>
      </c>
      <c r="U10" s="23">
        <f t="shared" si="2"/>
        <v>1479.5212486593398</v>
      </c>
      <c r="W10" s="3" t="s">
        <v>50</v>
      </c>
      <c r="X10" s="5">
        <v>51875</v>
      </c>
      <c r="Z10" s="3" t="s">
        <v>51</v>
      </c>
      <c r="AA10" s="5">
        <f ca="1">0.8*X2*(X8*(X9-X12)-B5*X12)</f>
        <v>-337.16415952062863</v>
      </c>
      <c r="AC10" s="23">
        <v>70</v>
      </c>
      <c r="AD10" s="23">
        <f t="shared" si="0"/>
        <v>50.444493965088412</v>
      </c>
      <c r="AE10" s="23">
        <f t="array" ref="AE10:AG10">FLEXCOMPBIAXT1($B$4,$B$5,$B$6,$B$15,$B$16,$B$17,$B$18,$B$19,$B$11,$B$12,$B$13,$B$7,$B$8,AC10,AD10,$B$3,$B$14)</f>
        <v>-220.55327724509598</v>
      </c>
      <c r="AF10" s="23">
        <v>3027.0575346226387</v>
      </c>
      <c r="AG10" s="23">
        <v>327.11167065154086</v>
      </c>
      <c r="AI10" s="23">
        <v>70</v>
      </c>
      <c r="AJ10" s="23">
        <f t="shared" si="1"/>
        <v>38.596950651481066</v>
      </c>
      <c r="AK10" s="23">
        <f t="array" ref="AK10:AM10">FLEXCOMPBIAXT1($B$4,$B$5,$B$6,$B$15,$B$16,$B$17,$B$18,$B$19,$B$11,$B$12,$B$13,$B$7,$B$8,AI10,AJ10,$B$3,$B$14)</f>
        <v>-112.74474386593822</v>
      </c>
      <c r="AL10" s="23">
        <v>3738.0111609333981</v>
      </c>
      <c r="AM10" s="23">
        <v>-151.23239988478349</v>
      </c>
      <c r="AO10" s="23">
        <v>-110.43759978860339</v>
      </c>
      <c r="AP10" s="23">
        <v>3714.3013083964597</v>
      </c>
      <c r="AQ10" s="23">
        <v>-569.99538560010456</v>
      </c>
      <c r="AR10" s="23">
        <f t="shared" si="3"/>
        <v>3537.5770094181103</v>
      </c>
    </row>
    <row r="11" spans="1:44" x14ac:dyDescent="0.2">
      <c r="A11" s="11" t="s">
        <v>9</v>
      </c>
      <c r="B11" s="12">
        <v>2</v>
      </c>
      <c r="C11" s="13"/>
      <c r="D11" s="13"/>
      <c r="E11" s="13"/>
      <c r="F11" s="13"/>
      <c r="G11" s="13"/>
      <c r="H11" s="13"/>
      <c r="I11" s="24"/>
      <c r="J11" s="13"/>
      <c r="K11" s="13"/>
      <c r="L11" s="13"/>
      <c r="M11" s="13"/>
      <c r="N11" s="13"/>
      <c r="O11" s="13"/>
      <c r="P11" s="14"/>
      <c r="Q11" s="22">
        <v>-193.28498840332031</v>
      </c>
      <c r="R11" s="22">
        <v>1500.7325439453125</v>
      </c>
      <c r="S11" s="22">
        <v>25.492536544799805</v>
      </c>
      <c r="T11" s="23" t="s">
        <v>201</v>
      </c>
      <c r="U11" s="23">
        <f t="shared" si="2"/>
        <v>1478.0813566128252</v>
      </c>
      <c r="W11" s="3" t="s">
        <v>55</v>
      </c>
      <c r="X11" s="5">
        <v>96875</v>
      </c>
      <c r="Z11" s="3" t="s">
        <v>56</v>
      </c>
      <c r="AA11" s="5">
        <f t="array" aca="1" ref="AA11:AA13" ca="1">MOMENTSPOLY(OFFSET($H$45,0,0,COUNT($H$45:$H$51),2))</f>
        <v>668.36735816755015</v>
      </c>
      <c r="AC11" s="23">
        <v>80</v>
      </c>
      <c r="AD11" s="23">
        <f t="shared" si="0"/>
        <v>52.984811467236874</v>
      </c>
      <c r="AE11" s="23">
        <f t="array" ref="AE11:AG11">FLEXCOMPBIAXT1($B$4,$B$5,$B$6,$B$15,$B$16,$B$17,$B$18,$B$19,$B$11,$B$12,$B$13,$B$7,$B$8,AC11,AD11,$B$3,$B$14)</f>
        <v>-220.55530458481019</v>
      </c>
      <c r="AF11" s="23">
        <v>3136.6141993828955</v>
      </c>
      <c r="AG11" s="23">
        <v>-134.89554345065181</v>
      </c>
      <c r="AI11" s="23">
        <v>80</v>
      </c>
      <c r="AJ11" s="23">
        <f t="shared" si="1"/>
        <v>40.929137184422018</v>
      </c>
      <c r="AK11" s="23">
        <f t="array" ref="AK11:AM11">FLEXCOMPBIAXT1($B$4,$B$5,$B$6,$B$15,$B$16,$B$17,$B$18,$B$19,$B$11,$B$12,$B$13,$B$7,$B$8,AI11,AJ11,$B$3,$B$14)</f>
        <v>-112.76324132264439</v>
      </c>
      <c r="AL11" s="23">
        <v>3713.9291198673081</v>
      </c>
      <c r="AM11" s="23">
        <v>-609.86097544896063</v>
      </c>
      <c r="AO11" s="23">
        <v>-153.62619051508298</v>
      </c>
      <c r="AP11" s="23">
        <v>3555.8157637018026</v>
      </c>
      <c r="AQ11" s="23">
        <v>-404.46516057084682</v>
      </c>
      <c r="AR11" s="23">
        <f t="shared" si="3"/>
        <v>3413.5456712420214</v>
      </c>
    </row>
    <row r="12" spans="1:44" x14ac:dyDescent="0.2">
      <c r="A12" s="11" t="s">
        <v>10</v>
      </c>
      <c r="B12" s="12">
        <v>2</v>
      </c>
      <c r="C12" s="13"/>
      <c r="D12" s="13"/>
      <c r="E12" s="13"/>
      <c r="F12" s="13"/>
      <c r="G12" s="13"/>
      <c r="H12" s="13"/>
      <c r="I12" s="25" t="s">
        <v>125</v>
      </c>
      <c r="J12" s="13"/>
      <c r="K12" s="13"/>
      <c r="L12" s="13"/>
      <c r="M12" s="13"/>
      <c r="N12" s="13"/>
      <c r="O12" s="13"/>
      <c r="P12" s="14"/>
      <c r="Q12" s="22">
        <v>-192.98037719726563</v>
      </c>
      <c r="R12" s="22">
        <v>1499.5281982421875</v>
      </c>
      <c r="S12" s="22">
        <v>18.138359069824219</v>
      </c>
      <c r="T12" s="23" t="s">
        <v>130</v>
      </c>
      <c r="U12" s="23">
        <f t="shared" si="2"/>
        <v>1475.4974281834438</v>
      </c>
      <c r="W12" s="3" t="s">
        <v>57</v>
      </c>
      <c r="X12" s="5">
        <f t="array" aca="1" ref="X12:X14" ca="1">MOMENTSPUNT(OFFSET($W$45,0,0,COUNT($W$45:$W$72),3))</f>
        <v>50.265482457436704</v>
      </c>
      <c r="Z12" s="3" t="s">
        <v>58</v>
      </c>
      <c r="AA12" s="5">
        <f ca="1"/>
        <v>15529.046244631105</v>
      </c>
      <c r="AC12" s="23">
        <v>90</v>
      </c>
      <c r="AD12" s="23">
        <f t="shared" si="0"/>
        <v>53.928070068359375</v>
      </c>
      <c r="AE12" s="23">
        <f t="array" ref="AE12:AG12">FLEXCOMPBIAXT1($B$4,$B$5,$B$6,$B$15,$B$16,$B$17,$B$18,$B$19,$B$11,$B$12,$B$13,$B$7,$B$8,AC12,AD12,$B$3,$B$14)</f>
        <v>-220.54643359001494</v>
      </c>
      <c r="AF12" s="23">
        <v>3176.0156601647554</v>
      </c>
      <c r="AG12" s="23">
        <v>-568.29384209292709</v>
      </c>
      <c r="AI12" s="23">
        <v>90</v>
      </c>
      <c r="AJ12" s="23">
        <f t="shared" si="1"/>
        <v>41.540069580078125</v>
      </c>
      <c r="AK12" s="23">
        <f t="array" ref="AK12:AM12">FLEXCOMPBIAXT1($B$4,$B$5,$B$6,$B$15,$B$16,$B$17,$B$18,$B$19,$B$11,$B$12,$B$13,$B$7,$B$8,AI12,AJ12,$B$3,$B$14)</f>
        <v>-112.74966428830261</v>
      </c>
      <c r="AL12" s="23">
        <v>3748.5213059660909</v>
      </c>
      <c r="AM12" s="23">
        <v>-1095.7307879890407</v>
      </c>
      <c r="AO12" s="23">
        <v>-203.04200251079948</v>
      </c>
      <c r="AP12" s="23">
        <v>3266.7531779568308</v>
      </c>
      <c r="AQ12" s="23">
        <v>-173.57494834494224</v>
      </c>
      <c r="AR12" s="23">
        <f t="shared" si="3"/>
        <v>3173.7880964359615</v>
      </c>
    </row>
    <row r="13" spans="1:44" x14ac:dyDescent="0.2">
      <c r="A13" s="11" t="s">
        <v>11</v>
      </c>
      <c r="B13" s="12">
        <v>1</v>
      </c>
      <c r="C13" s="13"/>
      <c r="D13" s="13"/>
      <c r="E13" s="13"/>
      <c r="F13" s="13"/>
      <c r="G13" s="13"/>
      <c r="H13" s="13"/>
      <c r="I13" s="6" t="s">
        <v>52</v>
      </c>
      <c r="J13" s="6" t="s">
        <v>53</v>
      </c>
      <c r="K13" s="6" t="s">
        <v>54</v>
      </c>
      <c r="L13" s="13"/>
      <c r="M13" s="6" t="s">
        <v>127</v>
      </c>
      <c r="N13" s="13"/>
      <c r="O13" s="13"/>
      <c r="P13" s="14"/>
      <c r="Q13" s="22">
        <v>-193.08283996582031</v>
      </c>
      <c r="R13" s="22">
        <v>1499.1710205078125</v>
      </c>
      <c r="S13" s="22">
        <v>25.297758102416992</v>
      </c>
      <c r="T13" s="23" t="s">
        <v>131</v>
      </c>
      <c r="U13" s="23">
        <f t="shared" si="2"/>
        <v>1476.511333899912</v>
      </c>
      <c r="W13" s="3" t="s">
        <v>59</v>
      </c>
      <c r="X13" s="5">
        <f ca="1"/>
        <v>1005.3096491487336</v>
      </c>
      <c r="Z13" s="3" t="s">
        <v>60</v>
      </c>
      <c r="AA13" s="5">
        <f ca="1"/>
        <v>-8215.2821839011776</v>
      </c>
      <c r="AC13" s="23">
        <v>100</v>
      </c>
      <c r="AD13" s="23">
        <f t="shared" si="0"/>
        <v>58.392086632483831</v>
      </c>
      <c r="AE13" s="23">
        <f t="array" ref="AE13:AG13">FLEXCOMPBIAXT1($B$4,$B$5,$B$6,$B$15,$B$16,$B$17,$B$18,$B$19,$B$11,$B$12,$B$13,$B$7,$B$8,AC13,AD13,$B$3,$B$14)</f>
        <v>-220.51133440298855</v>
      </c>
      <c r="AF13" s="23">
        <v>3108.1556124131075</v>
      </c>
      <c r="AG13" s="23">
        <v>-977.91844541835417</v>
      </c>
      <c r="AI13" s="23">
        <v>100</v>
      </c>
      <c r="AJ13" s="23">
        <f t="shared" si="1"/>
        <v>44.249982354145651</v>
      </c>
      <c r="AK13" s="23">
        <f t="array" ref="AK13:AM13">FLEXCOMPBIAXT1($B$4,$B$5,$B$6,$B$15,$B$16,$B$17,$B$18,$B$19,$B$11,$B$12,$B$13,$B$7,$B$8,AI13,AJ13,$B$3,$B$14)</f>
        <v>-112.78185392333984</v>
      </c>
      <c r="AL13" s="23">
        <v>3700.6563700862603</v>
      </c>
      <c r="AM13" s="23">
        <v>-1316.1570621740786</v>
      </c>
      <c r="AO13" s="23">
        <v>-261.2731010865819</v>
      </c>
      <c r="AP13" s="23">
        <v>2719.3783552611567</v>
      </c>
      <c r="AQ13" s="23">
        <v>103.08256634757166</v>
      </c>
      <c r="AR13" s="23">
        <f t="shared" si="3"/>
        <v>2689.1763594291783</v>
      </c>
    </row>
    <row r="14" spans="1:44" x14ac:dyDescent="0.2">
      <c r="A14" s="11" t="s">
        <v>110</v>
      </c>
      <c r="B14" s="12">
        <v>0</v>
      </c>
      <c r="C14" s="13"/>
      <c r="D14" s="13"/>
      <c r="E14" s="13"/>
      <c r="F14" s="13"/>
      <c r="G14" s="13"/>
      <c r="H14" s="13"/>
      <c r="I14" s="7">
        <f>ROUND(I5/I10-1,3)</f>
        <v>-0.85299999999999998</v>
      </c>
      <c r="J14" s="7">
        <f>ROUND(J5/J10-1,3)</f>
        <v>5.6000000000000001E-2</v>
      </c>
      <c r="K14" s="7">
        <f>ROUND(K5/K10-1,3)</f>
        <v>-1.571</v>
      </c>
      <c r="L14" s="13"/>
      <c r="M14" s="7">
        <f>M4/M9</f>
        <v>2.0960869753053064</v>
      </c>
      <c r="N14" s="13"/>
      <c r="O14" s="13"/>
      <c r="P14" s="14"/>
      <c r="Q14" s="22">
        <v>-193.27616882324219</v>
      </c>
      <c r="R14" s="22">
        <v>1498.1324462890625</v>
      </c>
      <c r="S14" s="22">
        <v>25.719120025634766</v>
      </c>
      <c r="T14" s="23" t="s">
        <v>202</v>
      </c>
      <c r="U14" s="23">
        <f t="shared" si="2"/>
        <v>1475.5721066768972</v>
      </c>
      <c r="W14" s="3" t="s">
        <v>62</v>
      </c>
      <c r="X14" s="5">
        <f ca="1"/>
        <v>1916.3715186897737</v>
      </c>
      <c r="Z14" s="3" t="s">
        <v>63</v>
      </c>
      <c r="AA14" s="5">
        <f ca="1">AA11*$X$8</f>
        <v>-119.3035697080735</v>
      </c>
      <c r="AC14" s="23">
        <v>110</v>
      </c>
      <c r="AD14" s="23">
        <f t="shared" si="0"/>
        <v>61.122724143585536</v>
      </c>
      <c r="AE14" s="23">
        <f t="array" ref="AE14:AG14">FLEXCOMPBIAXT1($B$4,$B$5,$B$6,$B$15,$B$16,$B$17,$B$18,$B$19,$B$11,$B$12,$B$13,$B$7,$B$8,AC14,AD14,$B$3,$B$14)</f>
        <v>-220.56163512144568</v>
      </c>
      <c r="AF14" s="23">
        <v>2981.5031694155659</v>
      </c>
      <c r="AG14" s="23">
        <v>-1380.4660846515858</v>
      </c>
      <c r="AI14" s="23">
        <v>110</v>
      </c>
      <c r="AJ14" s="23">
        <f t="shared" si="1"/>
        <v>45.420105506957007</v>
      </c>
      <c r="AK14" s="23">
        <f t="array" ref="AK14:AM14">FLEXCOMPBIAXT1($B$4,$B$5,$B$6,$B$15,$B$16,$B$17,$B$18,$B$19,$B$11,$B$12,$B$13,$B$7,$B$8,AI14,AJ14,$B$3,$B$14)</f>
        <v>-112.77508537325866</v>
      </c>
      <c r="AL14" s="23">
        <v>3660.8669496715734</v>
      </c>
      <c r="AM14" s="23">
        <v>-1502.6864494216509</v>
      </c>
      <c r="AO14" s="23">
        <v>-326.20999696014519</v>
      </c>
      <c r="AP14" s="23">
        <v>1786.3897848470856</v>
      </c>
      <c r="AQ14" s="23">
        <v>331.35763703279338</v>
      </c>
      <c r="AR14" s="23">
        <f t="shared" si="3"/>
        <v>1816.7981669781609</v>
      </c>
    </row>
    <row r="15" spans="1:44" x14ac:dyDescent="0.2">
      <c r="A15" s="11" t="s">
        <v>16</v>
      </c>
      <c r="B15" s="67">
        <v>70</v>
      </c>
      <c r="C15" s="13"/>
      <c r="D15" s="13"/>
      <c r="E15" s="13"/>
      <c r="F15" s="13"/>
      <c r="G15" s="13"/>
      <c r="H15" s="13"/>
      <c r="I15" s="24"/>
      <c r="J15" s="13"/>
      <c r="K15" s="13"/>
      <c r="L15" s="13"/>
      <c r="M15" s="13"/>
      <c r="N15" s="13"/>
      <c r="O15" s="13"/>
      <c r="P15" s="14"/>
      <c r="Q15" s="22">
        <v>-192.92431640625</v>
      </c>
      <c r="R15" s="22">
        <v>1496.823486328125</v>
      </c>
      <c r="S15" s="22">
        <v>21.481056213378906</v>
      </c>
      <c r="T15" s="23" t="s">
        <v>205</v>
      </c>
      <c r="U15" s="23">
        <f t="shared" si="2"/>
        <v>1473.4793931653971</v>
      </c>
      <c r="W15" s="3" t="s">
        <v>64</v>
      </c>
      <c r="X15" s="5">
        <f ca="1">(-X11*X8+(B5+X8)*X14)/(-X8*X9+(B5+X8)*X12)</f>
        <v>38.555150243958636</v>
      </c>
      <c r="Z15" s="3" t="s">
        <v>65</v>
      </c>
      <c r="AA15" s="5">
        <f ca="1">AA12*$X$8</f>
        <v>-2771.9346681227448</v>
      </c>
      <c r="AC15" s="23">
        <v>120</v>
      </c>
      <c r="AD15" s="23">
        <f t="shared" si="0"/>
        <v>61.646458073070278</v>
      </c>
      <c r="AE15" s="23">
        <f t="array" ref="AE15:AG15">FLEXCOMPBIAXT1($B$4,$B$5,$B$6,$B$15,$B$16,$B$17,$B$18,$B$19,$B$11,$B$12,$B$13,$B$7,$B$8,AC15,AD15,$B$3,$B$14)</f>
        <v>-220.53147831566156</v>
      </c>
      <c r="AF15" s="23">
        <v>2829.1019388827999</v>
      </c>
      <c r="AG15" s="23">
        <v>-1722.8360759296793</v>
      </c>
      <c r="AI15" s="23">
        <v>120</v>
      </c>
      <c r="AJ15" s="23">
        <f t="shared" si="1"/>
        <v>45.226964037991351</v>
      </c>
      <c r="AK15" s="23">
        <f t="array" ref="AK15:AM15">FLEXCOMPBIAXT1($B$4,$B$5,$B$6,$B$15,$B$16,$B$17,$B$18,$B$19,$B$11,$B$12,$B$13,$B$7,$B$8,AI15,AJ15,$B$3,$B$14)</f>
        <v>-112.77342733219372</v>
      </c>
      <c r="AL15" s="23">
        <v>3613.7181239354445</v>
      </c>
      <c r="AM15" s="23">
        <v>-1686.2175157160859</v>
      </c>
      <c r="AO15" s="23">
        <v>-337.16415952062863</v>
      </c>
      <c r="AP15" s="23">
        <v>1260.2237040730604</v>
      </c>
      <c r="AQ15" s="23">
        <v>200.8050741785442</v>
      </c>
      <c r="AR15" s="23">
        <f t="shared" si="3"/>
        <v>1275.3947376225387</v>
      </c>
    </row>
    <row r="16" spans="1:44" x14ac:dyDescent="0.2">
      <c r="A16" s="11" t="s">
        <v>17</v>
      </c>
      <c r="B16" s="67">
        <v>55</v>
      </c>
      <c r="C16" s="13"/>
      <c r="D16" s="13"/>
      <c r="E16" s="13"/>
      <c r="F16" s="13"/>
      <c r="G16" s="13"/>
      <c r="H16" s="13"/>
      <c r="I16" s="24"/>
      <c r="J16" s="13"/>
      <c r="K16" s="13"/>
      <c r="L16" s="13"/>
      <c r="M16" s="13"/>
      <c r="N16" s="13"/>
      <c r="O16" s="13"/>
      <c r="P16" s="14"/>
      <c r="Q16" s="22">
        <v>-192.87625122070313</v>
      </c>
      <c r="R16" s="22">
        <v>1496.6875</v>
      </c>
      <c r="S16" s="22">
        <v>16.033361434936523</v>
      </c>
      <c r="T16" s="23" t="s">
        <v>132</v>
      </c>
      <c r="U16" s="23">
        <f t="shared" si="2"/>
        <v>1472.3076035392669</v>
      </c>
      <c r="W16" s="3" t="s">
        <v>66</v>
      </c>
      <c r="X16" s="5">
        <f ca="1">(-X10*X8+(B5+X8)*X13)/(-X8*X9+(B5+X8)*X12)</f>
        <v>20.51618029275037</v>
      </c>
      <c r="Z16" s="3" t="s">
        <v>67</v>
      </c>
      <c r="AA16" s="5">
        <f ca="1">AA13*$X$8</f>
        <v>1466.4278240423109</v>
      </c>
      <c r="AC16" s="23">
        <v>130</v>
      </c>
      <c r="AD16" s="23">
        <f t="shared" si="0"/>
        <v>59.459584395304091</v>
      </c>
      <c r="AE16" s="23">
        <f t="array" ref="AE16:AG16">FLEXCOMPBIAXT1($B$4,$B$5,$B$6,$B$15,$B$16,$B$17,$B$18,$B$19,$B$11,$B$12,$B$13,$B$7,$B$8,AC16,AD16,$B$3,$B$14)</f>
        <v>-220.53631160596694</v>
      </c>
      <c r="AF16" s="23">
        <v>2674.9868360813462</v>
      </c>
      <c r="AG16" s="23">
        <v>-1991.5746043420077</v>
      </c>
      <c r="AI16" s="23">
        <v>130</v>
      </c>
      <c r="AJ16" s="23">
        <f t="shared" si="1"/>
        <v>43.297138988629953</v>
      </c>
      <c r="AK16" s="23">
        <f t="array" ref="AK16:AM16">FLEXCOMPBIAXT1($B$4,$B$5,$B$6,$B$15,$B$16,$B$17,$B$18,$B$19,$B$11,$B$12,$B$13,$B$7,$B$8,AI16,AJ16,$B$3,$B$14)</f>
        <v>-112.75932739039121</v>
      </c>
      <c r="AL16" s="23">
        <v>3597.540966095642</v>
      </c>
      <c r="AM16" s="23">
        <v>-1905.957324423706</v>
      </c>
      <c r="AO16" s="23">
        <v>-337.16415952062863</v>
      </c>
      <c r="AP16" s="23">
        <v>-7.0690839428146712E-13</v>
      </c>
      <c r="AQ16" s="23">
        <v>9.1951576742853342E-13</v>
      </c>
      <c r="AR16" s="23">
        <f t="shared" si="3"/>
        <v>-5.1869619710487314E-13</v>
      </c>
    </row>
    <row r="17" spans="1:44" x14ac:dyDescent="0.2">
      <c r="A17" s="11" t="s">
        <v>113</v>
      </c>
      <c r="B17" s="67">
        <v>25</v>
      </c>
      <c r="C17" s="13"/>
      <c r="D17" s="13"/>
      <c r="E17" s="13"/>
      <c r="F17" s="13"/>
      <c r="G17" s="13"/>
      <c r="H17" s="13"/>
      <c r="I17" s="25" t="s">
        <v>68</v>
      </c>
      <c r="J17" s="13"/>
      <c r="K17" s="13"/>
      <c r="L17" s="13"/>
      <c r="M17" s="28" t="s">
        <v>61</v>
      </c>
      <c r="N17" s="13"/>
      <c r="O17" s="13"/>
      <c r="Q17" s="22">
        <v>-114.10828399658203</v>
      </c>
      <c r="R17" s="22">
        <v>-1057.4520263671875</v>
      </c>
      <c r="S17" s="22">
        <v>1156.1134033203125</v>
      </c>
      <c r="T17" s="23" t="s">
        <v>207</v>
      </c>
      <c r="U17" s="23">
        <f t="shared" si="2"/>
        <v>-817.72001148467803</v>
      </c>
      <c r="W17" s="3" t="s">
        <v>69</v>
      </c>
      <c r="X17" s="5">
        <f>IF(B4&lt;=B3,0.85,IF(B4&gt;=2*B3,0.65,0.85-(0.85-0.65)*(B4/B3-1)))</f>
        <v>0.85</v>
      </c>
      <c r="Z17" s="3" t="s">
        <v>70</v>
      </c>
      <c r="AA17" s="5">
        <f ca="1">AA14+AA7</f>
        <v>-81.046016576495418</v>
      </c>
      <c r="AC17" s="23">
        <v>140</v>
      </c>
      <c r="AD17" s="23">
        <f t="shared" si="0"/>
        <v>55.063606681877175</v>
      </c>
      <c r="AE17" s="23">
        <f t="array" ref="AE17:AG17">FLEXCOMPBIAXT1($B$4,$B$5,$B$6,$B$15,$B$16,$B$17,$B$18,$B$19,$B$11,$B$12,$B$13,$B$7,$B$8,AC17,AD17,$B$3,$B$14)</f>
        <v>-220.52051622410303</v>
      </c>
      <c r="AF17" s="23">
        <v>2493.4239074471006</v>
      </c>
      <c r="AG17" s="23">
        <v>-2251.2182205537097</v>
      </c>
      <c r="AI17" s="23">
        <v>140</v>
      </c>
      <c r="AJ17" s="23">
        <f t="shared" si="1"/>
        <v>39.52605744753842</v>
      </c>
      <c r="AK17" s="23">
        <f t="array" ref="AK17:AM17">FLEXCOMPBIAXT1($B$4,$B$5,$B$6,$B$15,$B$16,$B$17,$B$18,$B$19,$B$11,$B$12,$B$13,$B$7,$B$8,AI17,AJ17,$B$3,$B$14)</f>
        <v>-112.74961865043592</v>
      </c>
      <c r="AL17" s="23">
        <v>3663.6200539970428</v>
      </c>
      <c r="AM17" s="23">
        <v>-2207.681176027309</v>
      </c>
      <c r="AO17" s="23">
        <f t="array" ref="AO17:AQ30">DIAGRAFLEXCOMPT1(B4,B5,B6,B15,B16,B17,B18,B19,B11,B12,B13,B7,B8,B9+180,B3,B14)</f>
        <v>190.00351506046883</v>
      </c>
      <c r="AP17" s="23">
        <v>-81.730058356260329</v>
      </c>
      <c r="AQ17" s="23">
        <v>98.076070027511875</v>
      </c>
      <c r="AR17" s="23">
        <f t="shared" si="3"/>
        <v>-61.539189339500211</v>
      </c>
    </row>
    <row r="18" spans="1:44" x14ac:dyDescent="0.2">
      <c r="A18" s="11" t="s">
        <v>114</v>
      </c>
      <c r="B18" s="67">
        <v>25</v>
      </c>
      <c r="C18" s="13"/>
      <c r="D18" s="13"/>
      <c r="E18" s="13"/>
      <c r="F18" s="13"/>
      <c r="G18" s="13"/>
      <c r="H18" s="13"/>
      <c r="I18" s="24"/>
      <c r="J18" s="13"/>
      <c r="K18" s="13"/>
      <c r="L18" s="13"/>
      <c r="M18" s="29" t="s">
        <v>12</v>
      </c>
      <c r="N18" s="30"/>
      <c r="O18" s="26" t="s">
        <v>21</v>
      </c>
      <c r="Q18" s="22">
        <v>-193.32376098632813</v>
      </c>
      <c r="R18" s="22">
        <v>1494.718017578125</v>
      </c>
      <c r="S18" s="22">
        <v>17.264860153198242</v>
      </c>
      <c r="T18" s="23" t="s">
        <v>133</v>
      </c>
      <c r="U18" s="23">
        <f t="shared" si="2"/>
        <v>1470.6089395088713</v>
      </c>
      <c r="W18" s="3" t="s">
        <v>71</v>
      </c>
      <c r="X18" s="5">
        <f ca="1">MAX(F45:F53)</f>
        <v>38.702984020378736</v>
      </c>
      <c r="Z18" s="3" t="s">
        <v>72</v>
      </c>
      <c r="AA18" s="5">
        <f ca="1">AA15+AA8</f>
        <v>-5379.6421851949381</v>
      </c>
      <c r="AC18" s="23">
        <v>150</v>
      </c>
      <c r="AD18" s="23">
        <f t="shared" si="0"/>
        <v>49.132041351351845</v>
      </c>
      <c r="AE18" s="23">
        <f t="array" ref="AE18:AG18">FLEXCOMPBIAXT1($B$4,$B$5,$B$6,$B$15,$B$16,$B$17,$B$18,$B$19,$B$11,$B$12,$B$13,$B$7,$B$8,AC18,AD18,$B$3,$B$14)</f>
        <v>-220.55453745283518</v>
      </c>
      <c r="AF18" s="23">
        <v>2277.3714026783332</v>
      </c>
      <c r="AG18" s="23">
        <v>-2488.2292918568869</v>
      </c>
      <c r="AI18" s="23">
        <v>150</v>
      </c>
      <c r="AJ18" s="23">
        <f t="shared" si="1"/>
        <v>34.334503907441061</v>
      </c>
      <c r="AK18" s="23">
        <f t="array" ref="AK18:AM18">FLEXCOMPBIAXT1($B$4,$B$5,$B$6,$B$15,$B$16,$B$17,$B$18,$B$19,$B$11,$B$12,$B$13,$B$7,$B$8,AI18,AJ18,$B$3,$B$14)</f>
        <v>-112.78080585684964</v>
      </c>
      <c r="AL18" s="23">
        <v>3684.6170164994646</v>
      </c>
      <c r="AM18" s="23">
        <v>-2555.2101836695115</v>
      </c>
      <c r="AO18" s="23">
        <v>160.21820793953026</v>
      </c>
      <c r="AP18" s="23">
        <v>-745.03057918759418</v>
      </c>
      <c r="AQ18" s="23">
        <v>-57.688993791142408</v>
      </c>
      <c r="AR18" s="23">
        <f t="shared" si="3"/>
        <v>-742.36859235457609</v>
      </c>
    </row>
    <row r="19" spans="1:44" x14ac:dyDescent="0.2">
      <c r="A19" s="11" t="s">
        <v>115</v>
      </c>
      <c r="B19" s="67">
        <v>35</v>
      </c>
      <c r="C19" s="13"/>
      <c r="D19" s="13"/>
      <c r="E19" s="13"/>
      <c r="F19" s="13"/>
      <c r="G19" s="13"/>
      <c r="H19" s="13"/>
      <c r="I19" s="24"/>
      <c r="J19" s="13"/>
      <c r="K19" s="13"/>
      <c r="L19" s="13"/>
      <c r="M19" s="13"/>
      <c r="N19" s="13"/>
      <c r="O19" s="13"/>
      <c r="P19" s="14"/>
      <c r="Q19" s="22">
        <v>-193.02825927734375</v>
      </c>
      <c r="R19" s="22">
        <v>1493.7489013671875</v>
      </c>
      <c r="S19" s="22">
        <v>10.07670783996582</v>
      </c>
      <c r="T19" s="23" t="s">
        <v>198</v>
      </c>
      <c r="U19" s="23">
        <f t="shared" si="2"/>
        <v>1468.2875719262652</v>
      </c>
      <c r="W19" s="3" t="s">
        <v>17</v>
      </c>
      <c r="X19" s="5">
        <f ca="1">X18-MIN(F45:F53)</f>
        <v>73.481672559679907</v>
      </c>
      <c r="Z19" s="3" t="s">
        <v>73</v>
      </c>
      <c r="AA19" s="5">
        <f ca="1">AA16+AA9</f>
        <v>2281.5224528692688</v>
      </c>
      <c r="AC19" s="23">
        <v>160</v>
      </c>
      <c r="AD19" s="23">
        <f t="shared" si="0"/>
        <v>41.942529313878239</v>
      </c>
      <c r="AE19" s="23">
        <f t="array" ref="AE19:AG19">FLEXCOMPBIAXT1($B$4,$B$5,$B$6,$B$15,$B$16,$B$17,$B$18,$B$19,$B$11,$B$12,$B$13,$B$7,$B$8,AC19,AD19,$B$3,$B$14)</f>
        <v>-220.53644934628531</v>
      </c>
      <c r="AF19" s="23">
        <v>2053.9735740371043</v>
      </c>
      <c r="AG19" s="23">
        <v>-2728.7034895490888</v>
      </c>
      <c r="AI19" s="23">
        <v>160</v>
      </c>
      <c r="AJ19" s="23">
        <f t="shared" si="1"/>
        <v>28.119970991570945</v>
      </c>
      <c r="AK19" s="23">
        <f t="array" ref="AK19:AM19">FLEXCOMPBIAXT1($B$4,$B$5,$B$6,$B$15,$B$16,$B$17,$B$18,$B$19,$B$11,$B$12,$B$13,$B$7,$B$8,AI19,AJ19,$B$3,$B$14)</f>
        <v>-112.73607936414911</v>
      </c>
      <c r="AL19" s="23">
        <v>3405.7951022781872</v>
      </c>
      <c r="AM19" s="23">
        <v>-3056.8013791214235</v>
      </c>
      <c r="AO19" s="23">
        <v>92.295085048175579</v>
      </c>
      <c r="AP19" s="23">
        <v>-2292.7854619951186</v>
      </c>
      <c r="AQ19" s="23">
        <v>-388.57911817593936</v>
      </c>
      <c r="AR19" s="23">
        <f t="shared" si="3"/>
        <v>-2324.81716472987</v>
      </c>
    </row>
    <row r="20" spans="1:44" x14ac:dyDescent="0.2">
      <c r="A20" s="24"/>
      <c r="B20" s="13"/>
      <c r="C20" s="13"/>
      <c r="D20" s="13"/>
      <c r="E20" s="13"/>
      <c r="F20" s="13"/>
      <c r="G20" s="13"/>
      <c r="H20" s="13"/>
      <c r="I20" s="29" t="s">
        <v>74</v>
      </c>
      <c r="J20" s="30"/>
      <c r="K20" s="31" t="s">
        <v>118</v>
      </c>
      <c r="L20" s="32"/>
      <c r="M20" s="33"/>
      <c r="N20" s="13"/>
      <c r="O20" s="13"/>
      <c r="P20" s="14"/>
      <c r="Q20" s="22">
        <v>-193.18208312988281</v>
      </c>
      <c r="R20" s="22">
        <v>1493.212646484375</v>
      </c>
      <c r="S20" s="22">
        <v>20.825349807739258</v>
      </c>
      <c r="T20" s="23" t="s">
        <v>203</v>
      </c>
      <c r="U20" s="23">
        <f t="shared" si="2"/>
        <v>1469.8097700854826</v>
      </c>
      <c r="W20" s="3" t="s">
        <v>76</v>
      </c>
      <c r="X20" s="5">
        <f ca="1">MIN(IF(B10&lt;=0,0,X17*B10),X19)</f>
        <v>28.627041786016044</v>
      </c>
      <c r="Z20" s="3" t="s">
        <v>77</v>
      </c>
      <c r="AA20" s="5">
        <f ca="1">-AA18*COS(X6)-AA19*SIN(X6)</f>
        <v>-1214.3742345076907</v>
      </c>
      <c r="AC20" s="23">
        <v>170</v>
      </c>
      <c r="AD20" s="23">
        <f t="shared" si="0"/>
        <v>32.477911084952162</v>
      </c>
      <c r="AE20" s="23">
        <f t="array" ref="AE20:AG20">FLEXCOMPBIAXT1($B$4,$B$5,$B$6,$B$15,$B$16,$B$17,$B$18,$B$19,$B$11,$B$12,$B$13,$B$7,$B$8,AC20,AD20,$B$3,$B$14)</f>
        <v>-220.55064106696454</v>
      </c>
      <c r="AF20" s="23">
        <v>1919.2151823614749</v>
      </c>
      <c r="AG20" s="23">
        <v>-3165.8850850346107</v>
      </c>
      <c r="AI20" s="23">
        <v>170</v>
      </c>
      <c r="AJ20" s="23">
        <f t="shared" si="1"/>
        <v>21.231804907160679</v>
      </c>
      <c r="AK20" s="23">
        <f t="array" ref="AK20:AM20">FLEXCOMPBIAXT1($B$4,$B$5,$B$6,$B$15,$B$16,$B$17,$B$18,$B$19,$B$11,$B$12,$B$13,$B$7,$B$8,AI20,AJ20,$B$3,$B$14)</f>
        <v>-112.79609064502003</v>
      </c>
      <c r="AL20" s="23">
        <v>2509.8480651012674</v>
      </c>
      <c r="AM20" s="23">
        <v>-3635.9775652172307</v>
      </c>
      <c r="AO20" s="23">
        <v>41.264853780336324</v>
      </c>
      <c r="AP20" s="23">
        <v>-3206.3825854652487</v>
      </c>
      <c r="AQ20" s="23">
        <v>-561.88902393669446</v>
      </c>
      <c r="AR20" s="23">
        <f t="shared" si="3"/>
        <v>-3254.6989231231601</v>
      </c>
    </row>
    <row r="21" spans="1:44" x14ac:dyDescent="0.2">
      <c r="A21" s="34"/>
      <c r="B21" s="35"/>
      <c r="C21" s="35"/>
      <c r="D21" s="35"/>
      <c r="E21" s="35"/>
      <c r="F21" s="35"/>
      <c r="G21" s="35"/>
      <c r="H21" s="35"/>
      <c r="I21" s="29" t="s">
        <v>78</v>
      </c>
      <c r="J21" s="30"/>
      <c r="K21" s="36">
        <v>20</v>
      </c>
      <c r="L21" s="35"/>
      <c r="M21" s="35"/>
      <c r="N21" s="35"/>
      <c r="O21" s="35"/>
      <c r="P21" s="37"/>
      <c r="Q21" s="22">
        <v>-192.88658142089844</v>
      </c>
      <c r="R21" s="22">
        <v>1492.2435302734375</v>
      </c>
      <c r="S21" s="22">
        <v>13.63719654083252</v>
      </c>
      <c r="T21" s="23" t="s">
        <v>134</v>
      </c>
      <c r="U21" s="23">
        <f t="shared" si="2"/>
        <v>1467.4884023211123</v>
      </c>
      <c r="W21" s="3" t="s">
        <v>79</v>
      </c>
      <c r="X21" s="5">
        <f ca="1">X18-X20</f>
        <v>10.075942234362692</v>
      </c>
      <c r="Z21" s="3" t="s">
        <v>80</v>
      </c>
      <c r="AA21" s="5">
        <f ca="1">-AA18*SIN(X6)+AA19*COS(X6)</f>
        <v>5715.8717587293213</v>
      </c>
      <c r="AC21" s="23">
        <v>180</v>
      </c>
      <c r="AD21" s="23">
        <f t="shared" si="0"/>
        <v>22.497329711914063</v>
      </c>
      <c r="AE21" s="23">
        <f t="array" ref="AE21:AG21">FLEXCOMPBIAXT1($B$4,$B$5,$B$6,$B$15,$B$16,$B$17,$B$18,$B$19,$B$11,$B$12,$B$13,$B$7,$B$8,AC21,AD21,$B$3,$B$14)</f>
        <v>-220.54152961150294</v>
      </c>
      <c r="AF21" s="23">
        <v>1261.2559689785894</v>
      </c>
      <c r="AG21" s="23">
        <v>-3863.6644221115816</v>
      </c>
      <c r="AI21" s="23">
        <v>180</v>
      </c>
      <c r="AJ21" s="23">
        <f t="shared" si="1"/>
        <v>14.727706909179688</v>
      </c>
      <c r="AK21" s="23">
        <f t="array" ref="AK21:AM21">FLEXCOMPBIAXT1($B$4,$B$5,$B$6,$B$15,$B$16,$B$17,$B$18,$B$19,$B$11,$B$12,$B$13,$B$7,$B$8,AI21,AJ21,$B$3,$B$14)</f>
        <v>-112.7485465550769</v>
      </c>
      <c r="AL21" s="23">
        <v>994.59900735523001</v>
      </c>
      <c r="AM21" s="23">
        <v>-3752.8156877736178</v>
      </c>
      <c r="AO21" s="23">
        <v>-37.626684370285084</v>
      </c>
      <c r="AP21" s="23">
        <v>-4419.9083995661204</v>
      </c>
      <c r="AQ21" s="23">
        <v>-339.35717738770609</v>
      </c>
      <c r="AR21" s="23">
        <f t="shared" si="3"/>
        <v>-4403.5664578404967</v>
      </c>
    </row>
    <row r="22" spans="1:44" x14ac:dyDescent="0.2">
      <c r="A22" s="24"/>
      <c r="B22" s="13"/>
      <c r="C22" s="13"/>
      <c r="D22" s="13"/>
      <c r="E22" s="13"/>
      <c r="F22" s="13"/>
      <c r="G22" s="13"/>
      <c r="H22" s="13"/>
      <c r="I22" s="24"/>
      <c r="J22" s="13"/>
      <c r="K22" s="13"/>
      <c r="L22" s="13"/>
      <c r="M22" s="13"/>
      <c r="N22" s="13"/>
      <c r="O22" s="13"/>
      <c r="P22" s="14"/>
      <c r="Q22" s="22">
        <v>-193.33409118652344</v>
      </c>
      <c r="R22" s="22">
        <v>1490.27392578125</v>
      </c>
      <c r="S22" s="22">
        <v>14.868695259094238</v>
      </c>
      <c r="T22" s="23" t="s">
        <v>135</v>
      </c>
      <c r="U22" s="23">
        <f t="shared" si="2"/>
        <v>1465.7896184580727</v>
      </c>
      <c r="Z22" s="3" t="s">
        <v>81</v>
      </c>
      <c r="AA22" s="19">
        <f ca="1">MAX($AA$6*AA17,AA10)</f>
        <v>-59.591736662831146</v>
      </c>
      <c r="AC22" s="23">
        <v>190</v>
      </c>
      <c r="AD22" s="23">
        <f t="shared" si="0"/>
        <v>33.118638246015777</v>
      </c>
      <c r="AE22" s="23">
        <f t="array" ref="AE22:AG22">FLEXCOMPBIAXT1($B$4,$B$5,$B$6,$B$15,$B$16,$B$17,$B$18,$B$19,$B$11,$B$12,$B$13,$B$7,$B$8,AC22,AD22,$B$3,$B$14)</f>
        <v>-220.52411605642169</v>
      </c>
      <c r="AF22" s="23">
        <v>281.70602548416076</v>
      </c>
      <c r="AG22" s="23">
        <v>-2895.2039246018012</v>
      </c>
      <c r="AI22" s="23">
        <v>190</v>
      </c>
      <c r="AJ22" s="23">
        <f t="shared" si="1"/>
        <v>21.398561706653009</v>
      </c>
      <c r="AK22" s="23">
        <f t="array" ref="AK22:AM22">FLEXCOMPBIAXT1($B$4,$B$5,$B$6,$B$15,$B$16,$B$17,$B$18,$B$19,$B$11,$B$12,$B$13,$B$7,$B$8,AI22,AJ22,$B$3,$B$14)</f>
        <v>-112.76717178228738</v>
      </c>
      <c r="AL22" s="23">
        <v>-503.06280995928586</v>
      </c>
      <c r="AM22" s="23">
        <v>-3564.7801103970378</v>
      </c>
      <c r="AO22" s="23">
        <v>-92.858519187708282</v>
      </c>
      <c r="AP22" s="23">
        <v>-4388.4760802611263</v>
      </c>
      <c r="AQ22" s="23">
        <v>33.867380881485531</v>
      </c>
      <c r="AR22" s="23">
        <f t="shared" si="3"/>
        <v>-4301.5760910225836</v>
      </c>
    </row>
    <row r="23" spans="1:44" x14ac:dyDescent="0.2">
      <c r="A23" s="24"/>
      <c r="B23" s="13"/>
      <c r="C23" s="13"/>
      <c r="D23" s="13"/>
      <c r="E23" s="13"/>
      <c r="F23" s="13"/>
      <c r="G23" s="13"/>
      <c r="H23" s="13"/>
      <c r="I23" s="24"/>
      <c r="J23" s="13"/>
      <c r="K23" s="13"/>
      <c r="L23" s="13"/>
      <c r="M23" s="13"/>
      <c r="N23" s="13"/>
      <c r="O23" s="13"/>
      <c r="P23" s="14"/>
      <c r="Q23" s="22">
        <v>-193.28602600097656</v>
      </c>
      <c r="R23" s="22">
        <v>1490.1380615234375</v>
      </c>
      <c r="S23" s="22">
        <v>9.4210004806518555</v>
      </c>
      <c r="T23" s="23" t="s">
        <v>196</v>
      </c>
      <c r="U23" s="23">
        <f t="shared" si="2"/>
        <v>1464.6179486645865</v>
      </c>
      <c r="Z23" s="3" t="s">
        <v>82</v>
      </c>
      <c r="AA23" s="19">
        <f ca="1">$AA$6*AA20</f>
        <v>-892.90840746757806</v>
      </c>
      <c r="AC23" s="23">
        <v>200</v>
      </c>
      <c r="AD23" s="23">
        <f t="shared" si="0"/>
        <v>39.499039465704399</v>
      </c>
      <c r="AE23" s="23">
        <f t="array" ref="AE23:AG23">FLEXCOMPBIAXT1($B$4,$B$5,$B$6,$B$15,$B$16,$B$17,$B$18,$B$19,$B$11,$B$12,$B$13,$B$7,$B$8,AC23,AD23,$B$3,$B$14)</f>
        <v>-220.53561005274136</v>
      </c>
      <c r="AF23" s="23">
        <v>-477.12573499671777</v>
      </c>
      <c r="AG23" s="23">
        <v>-2474.9450513989768</v>
      </c>
      <c r="AI23" s="23">
        <v>200</v>
      </c>
      <c r="AJ23" s="23">
        <f t="shared" si="1"/>
        <v>28.496380821902314</v>
      </c>
      <c r="AK23" s="23">
        <f t="array" ref="AK23:AM23">FLEXCOMPBIAXT1($B$4,$B$5,$B$6,$B$15,$B$16,$B$17,$B$18,$B$19,$B$11,$B$12,$B$13,$B$7,$B$8,AI23,AJ23,$B$3,$B$14)</f>
        <v>-112.78725305540509</v>
      </c>
      <c r="AL23" s="23">
        <v>-1414.0291507048378</v>
      </c>
      <c r="AM23" s="23">
        <v>-2682.3474720738409</v>
      </c>
      <c r="AO23" s="23">
        <v>-151.22033907823925</v>
      </c>
      <c r="AP23" s="23">
        <v>-4070.5609256344237</v>
      </c>
      <c r="AQ23" s="23">
        <v>376.12956426247922</v>
      </c>
      <c r="AR23" s="23">
        <f t="shared" si="3"/>
        <v>-3924.2556331340379</v>
      </c>
    </row>
    <row r="24" spans="1:44" x14ac:dyDescent="0.2">
      <c r="A24" s="24"/>
      <c r="B24" s="13"/>
      <c r="C24" s="13"/>
      <c r="D24" s="13"/>
      <c r="E24" s="13"/>
      <c r="F24" s="13"/>
      <c r="G24" s="13"/>
      <c r="H24" s="13"/>
      <c r="I24" s="24"/>
      <c r="J24" s="13"/>
      <c r="K24" s="13"/>
      <c r="L24" s="13"/>
      <c r="M24" s="13"/>
      <c r="N24" s="13"/>
      <c r="O24" s="13"/>
      <c r="P24" s="14"/>
      <c r="Q24" s="22">
        <v>-192.93417358398438</v>
      </c>
      <c r="R24" s="22">
        <v>1488.8291015625</v>
      </c>
      <c r="S24" s="22">
        <v>5.1829361915588379</v>
      </c>
      <c r="T24" s="23" t="s">
        <v>199</v>
      </c>
      <c r="U24" s="23">
        <f t="shared" si="2"/>
        <v>1462.5252350622043</v>
      </c>
      <c r="Z24" s="3" t="s">
        <v>83</v>
      </c>
      <c r="AA24" s="19">
        <f ca="1">$AA$6*AA21</f>
        <v>4202.7818149855357</v>
      </c>
      <c r="AC24" s="23">
        <v>210</v>
      </c>
      <c r="AD24" s="23">
        <f t="shared" si="0"/>
        <v>44.804668889385397</v>
      </c>
      <c r="AE24" s="23">
        <f t="array" ref="AE24:AG24">FLEXCOMPBIAXT1($B$4,$B$5,$B$6,$B$15,$B$16,$B$17,$B$18,$B$19,$B$11,$B$12,$B$13,$B$7,$B$8,AC24,AD24,$B$3,$B$14)</f>
        <v>-220.55616284692704</v>
      </c>
      <c r="AF24" s="23">
        <v>-1183.7876483694552</v>
      </c>
      <c r="AG24" s="23">
        <v>-2030.9720267040309</v>
      </c>
      <c r="AI24" s="23">
        <v>210</v>
      </c>
      <c r="AJ24" s="23">
        <f t="shared" si="1"/>
        <v>34.464900570392302</v>
      </c>
      <c r="AK24" s="23">
        <f t="array" ref="AK24:AM24">FLEXCOMPBIAXT1($B$4,$B$5,$B$6,$B$15,$B$16,$B$17,$B$18,$B$19,$B$11,$B$12,$B$13,$B$7,$B$8,AI24,AJ24,$B$3,$B$14)</f>
        <v>-112.75991999002703</v>
      </c>
      <c r="AL24" s="23">
        <v>-1861.4733192865938</v>
      </c>
      <c r="AM24" s="23">
        <v>-2032.8162015992455</v>
      </c>
      <c r="AO24" s="23">
        <v>-176.18148658214173</v>
      </c>
      <c r="AP24" s="23">
        <v>-3804.6086441695365</v>
      </c>
      <c r="AQ24" s="23">
        <v>495.46509668437943</v>
      </c>
      <c r="AR24" s="23">
        <f t="shared" si="3"/>
        <v>-3640.4339231353115</v>
      </c>
    </row>
    <row r="25" spans="1:44" x14ac:dyDescent="0.2">
      <c r="A25" s="24"/>
      <c r="B25" s="13"/>
      <c r="C25" s="13"/>
      <c r="D25" s="13"/>
      <c r="E25" s="13"/>
      <c r="F25" s="13"/>
      <c r="G25" s="13"/>
      <c r="H25" s="13"/>
      <c r="I25" s="24"/>
      <c r="J25" s="13"/>
      <c r="K25" s="13"/>
      <c r="L25" s="13"/>
      <c r="M25" s="13"/>
      <c r="N25" s="13"/>
      <c r="O25" s="13"/>
      <c r="P25" s="14"/>
      <c r="Q25" s="22">
        <v>-193.12751770019531</v>
      </c>
      <c r="R25" s="22">
        <v>1487.79052734375</v>
      </c>
      <c r="S25" s="22">
        <v>5.6043000221252441</v>
      </c>
      <c r="T25" s="23" t="s">
        <v>136</v>
      </c>
      <c r="U25" s="23">
        <f t="shared" si="2"/>
        <v>1461.5860082027182</v>
      </c>
      <c r="AC25" s="23">
        <v>220</v>
      </c>
      <c r="AD25" s="23">
        <f t="shared" si="0"/>
        <v>48.64311642912287</v>
      </c>
      <c r="AE25" s="23">
        <f t="array" ref="AE25:AG25">FLEXCOMPBIAXT1($B$4,$B$5,$B$6,$B$15,$B$16,$B$17,$B$18,$B$19,$B$11,$B$12,$B$13,$B$7,$B$8,AC25,AD25,$B$3,$B$14)</f>
        <v>-220.53469158818922</v>
      </c>
      <c r="AF25" s="23">
        <v>-1896.2921245564103</v>
      </c>
      <c r="AG25" s="23">
        <v>-1490.701586184377</v>
      </c>
      <c r="AI25" s="23">
        <v>220</v>
      </c>
      <c r="AJ25" s="23">
        <f t="shared" si="1"/>
        <v>37.72023436994467</v>
      </c>
      <c r="AK25" s="23">
        <f t="array" ref="AK25:AM25">FLEXCOMPBIAXT1($B$4,$B$5,$B$6,$B$15,$B$16,$B$17,$B$18,$B$19,$B$11,$B$12,$B$13,$B$7,$B$8,AI25,AJ25,$B$3,$B$14)</f>
        <v>-112.77719776354382</v>
      </c>
      <c r="AL25" s="23">
        <v>-2316.3116476096452</v>
      </c>
      <c r="AM25" s="23">
        <v>-1604.3404128076181</v>
      </c>
      <c r="AO25" s="23">
        <v>-218.07228325988484</v>
      </c>
      <c r="AP25" s="23">
        <v>-3599.7688456719811</v>
      </c>
      <c r="AQ25" s="23">
        <v>644.71702768079695</v>
      </c>
      <c r="AR25" s="23">
        <f t="shared" si="3"/>
        <v>-3410.9025684455951</v>
      </c>
    </row>
    <row r="26" spans="1:44" x14ac:dyDescent="0.2">
      <c r="A26" s="24"/>
      <c r="B26" s="13"/>
      <c r="C26" s="13"/>
      <c r="D26" s="13"/>
      <c r="E26" s="13"/>
      <c r="F26" s="13"/>
      <c r="G26" s="13"/>
      <c r="H26" s="13"/>
      <c r="I26" s="24"/>
      <c r="J26" s="13"/>
      <c r="K26" s="13"/>
      <c r="L26" s="13"/>
      <c r="M26" s="13"/>
      <c r="N26" s="13"/>
      <c r="O26" s="13"/>
      <c r="P26" s="14"/>
      <c r="Q26" s="22">
        <v>-193.22996520996094</v>
      </c>
      <c r="R26" s="22">
        <v>1487.433349609375</v>
      </c>
      <c r="S26" s="22">
        <v>12.763696670532227</v>
      </c>
      <c r="T26" s="23" t="s">
        <v>139</v>
      </c>
      <c r="U26" s="23">
        <f t="shared" si="2"/>
        <v>1462.5999134647755</v>
      </c>
      <c r="AC26" s="23">
        <v>230</v>
      </c>
      <c r="AD26" s="23">
        <f t="shared" si="0"/>
        <v>50.207614531121905</v>
      </c>
      <c r="AE26" s="23">
        <f t="array" ref="AE26:AG26">FLEXCOMPBIAXT1($B$4,$B$5,$B$6,$B$15,$B$16,$B$17,$B$18,$B$19,$B$11,$B$12,$B$13,$B$7,$B$8,AC26,AD26,$B$3,$B$14)</f>
        <v>-220.55563437126727</v>
      </c>
      <c r="AF26" s="23">
        <v>-2505.6440687369841</v>
      </c>
      <c r="AG26" s="23">
        <v>-908.06924558416404</v>
      </c>
      <c r="AI26" s="23">
        <v>230</v>
      </c>
      <c r="AJ26" s="23">
        <f t="shared" si="1"/>
        <v>39.1883761482298</v>
      </c>
      <c r="AK26" s="23">
        <f t="array" ref="AK26:AM26">FLEXCOMPBIAXT1($B$4,$B$5,$B$6,$B$15,$B$16,$B$17,$B$18,$B$19,$B$11,$B$12,$B$13,$B$7,$B$8,AI26,AJ26,$B$3,$B$14)</f>
        <v>-112.77734043443537</v>
      </c>
      <c r="AL26" s="23">
        <v>-2723.3532939752727</v>
      </c>
      <c r="AM26" s="23">
        <v>-1225.6885346887557</v>
      </c>
      <c r="AO26" s="23">
        <v>-260.59136249232165</v>
      </c>
      <c r="AP26" s="23">
        <v>-3279.1164334512441</v>
      </c>
      <c r="AQ26" s="23">
        <v>786.09272524388871</v>
      </c>
      <c r="AR26" s="23">
        <f t="shared" si="3"/>
        <v>-3069.1827192301971</v>
      </c>
    </row>
    <row r="27" spans="1:44" x14ac:dyDescent="0.2">
      <c r="A27" s="24"/>
      <c r="B27" s="13"/>
      <c r="C27" s="13"/>
      <c r="D27" s="13"/>
      <c r="E27" s="13"/>
      <c r="F27" s="13"/>
      <c r="G27" s="13"/>
      <c r="H27" s="13"/>
      <c r="I27" s="24"/>
      <c r="J27" s="13"/>
      <c r="K27" s="13"/>
      <c r="L27" s="13"/>
      <c r="M27" s="13"/>
      <c r="N27" s="13"/>
      <c r="O27" s="13"/>
      <c r="P27" s="14"/>
      <c r="Q27" s="22">
        <v>-192.92535400390625</v>
      </c>
      <c r="R27" s="22">
        <v>1486.22900390625</v>
      </c>
      <c r="S27" s="22">
        <v>5.4095206260681152</v>
      </c>
      <c r="T27" s="23" t="s">
        <v>200</v>
      </c>
      <c r="U27" s="23">
        <f t="shared" si="2"/>
        <v>1460.0159853080406</v>
      </c>
      <c r="AC27" s="23">
        <v>240</v>
      </c>
      <c r="AD27" s="23">
        <f t="shared" si="0"/>
        <v>49.913066874401537</v>
      </c>
      <c r="AE27" s="23">
        <f t="array" ref="AE27:AG27">FLEXCOMPBIAXT1($B$4,$B$5,$B$6,$B$15,$B$16,$B$17,$B$18,$B$19,$B$11,$B$12,$B$13,$B$7,$B$8,AC27,AD27,$B$3,$B$14)</f>
        <v>-220.55496351984686</v>
      </c>
      <c r="AF27" s="23">
        <v>-2980.6322063585717</v>
      </c>
      <c r="AG27" s="23">
        <v>-318.98235512167872</v>
      </c>
      <c r="AI27" s="23">
        <v>240</v>
      </c>
      <c r="AJ27" s="23">
        <f t="shared" si="1"/>
        <v>38.806893460569128</v>
      </c>
      <c r="AK27" s="23">
        <f t="array" ref="AK27:AM27">FLEXCOMPBIAXT1($B$4,$B$5,$B$6,$B$15,$B$16,$B$17,$B$18,$B$19,$B$11,$B$12,$B$13,$B$7,$B$8,AI27,AJ27,$B$3,$B$14)</f>
        <v>-112.75942117937109</v>
      </c>
      <c r="AL27" s="23">
        <v>-3171.5840429731679</v>
      </c>
      <c r="AM27" s="23">
        <v>-820.08109143518902</v>
      </c>
      <c r="AO27" s="23">
        <v>-296.0300349729431</v>
      </c>
      <c r="AP27" s="23">
        <v>-2832.3658228151489</v>
      </c>
      <c r="AQ27" s="23">
        <v>658.08234971810396</v>
      </c>
      <c r="AR27" s="23">
        <f t="shared" si="3"/>
        <v>-2655.0194519293996</v>
      </c>
    </row>
    <row r="28" spans="1:44" x14ac:dyDescent="0.2">
      <c r="A28" s="24"/>
      <c r="B28" s="13"/>
      <c r="C28" s="13"/>
      <c r="D28" s="13"/>
      <c r="E28" s="13"/>
      <c r="F28" s="13"/>
      <c r="G28" s="13"/>
      <c r="H28" s="13"/>
      <c r="I28" s="24"/>
      <c r="J28" s="13"/>
      <c r="K28" s="13"/>
      <c r="L28" s="13"/>
      <c r="M28" s="13"/>
      <c r="N28" s="13"/>
      <c r="O28" s="13"/>
      <c r="P28" s="14"/>
      <c r="Q28" s="22">
        <v>-193.08421325683594</v>
      </c>
      <c r="R28" s="22">
        <v>1485.0576171875</v>
      </c>
      <c r="S28" s="22">
        <v>3.8880734443664551</v>
      </c>
      <c r="T28" s="23" t="s">
        <v>137</v>
      </c>
      <c r="U28" s="23">
        <f t="shared" si="2"/>
        <v>1458.5760930797619</v>
      </c>
      <c r="AC28" s="23">
        <v>250</v>
      </c>
      <c r="AD28" s="23">
        <f t="shared" si="0"/>
        <v>48.178421636868279</v>
      </c>
      <c r="AE28" s="23">
        <f t="array" ref="AE28:AG28">FLEXCOMPBIAXT1($B$4,$B$5,$B$6,$B$15,$B$16,$B$17,$B$18,$B$19,$B$11,$B$12,$B$13,$B$7,$B$8,AC28,AD28,$B$3,$B$14)</f>
        <v>-220.56503409625947</v>
      </c>
      <c r="AF28" s="23">
        <v>-3329.1242434168162</v>
      </c>
      <c r="AG28" s="23">
        <v>204.38353732486354</v>
      </c>
      <c r="AI28" s="23">
        <v>250</v>
      </c>
      <c r="AJ28" s="23">
        <f t="shared" si="1"/>
        <v>35.9906272229276</v>
      </c>
      <c r="AK28" s="23">
        <f t="array" ref="AK28:AM28">FLEXCOMPBIAXT1($B$4,$B$5,$B$6,$B$15,$B$16,$B$17,$B$18,$B$19,$B$11,$B$12,$B$13,$B$7,$B$8,AI28,AJ28,$B$3,$B$14)</f>
        <v>-112.7875546716775</v>
      </c>
      <c r="AL28" s="23">
        <v>-3796.0150300398868</v>
      </c>
      <c r="AM28" s="23">
        <v>-317.4480772243819</v>
      </c>
      <c r="AO28" s="23">
        <v>-335.60673626383385</v>
      </c>
      <c r="AP28" s="23">
        <v>-2132.7233499881536</v>
      </c>
      <c r="AQ28" s="23">
        <v>454.87426108648015</v>
      </c>
      <c r="AR28" s="23">
        <f t="shared" si="3"/>
        <v>-2006.9322859314379</v>
      </c>
    </row>
    <row r="29" spans="1:44" x14ac:dyDescent="0.2">
      <c r="A29" s="24"/>
      <c r="B29" s="13"/>
      <c r="C29" s="13"/>
      <c r="D29" s="13"/>
      <c r="E29" s="13"/>
      <c r="F29" s="13"/>
      <c r="G29" s="13"/>
      <c r="H29" s="13"/>
      <c r="I29" s="24"/>
      <c r="J29" s="13"/>
      <c r="K29" s="13"/>
      <c r="L29" s="13"/>
      <c r="M29" s="13"/>
      <c r="N29" s="13"/>
      <c r="O29" s="13"/>
      <c r="P29" s="14"/>
      <c r="Q29" s="22">
        <v>-193.27755737304688</v>
      </c>
      <c r="R29" s="22">
        <v>1484.0189208984375</v>
      </c>
      <c r="S29" s="22">
        <v>4.3094367980957031</v>
      </c>
      <c r="T29" s="23" t="s">
        <v>195</v>
      </c>
      <c r="U29" s="23">
        <f t="shared" si="2"/>
        <v>1457.6367462967498</v>
      </c>
      <c r="AC29" s="23">
        <v>260</v>
      </c>
      <c r="AD29" s="23">
        <f t="shared" si="0"/>
        <v>45.028200616141483</v>
      </c>
      <c r="AE29" s="23">
        <f t="array" ref="AE29:AG29">FLEXCOMPBIAXT1($B$4,$B$5,$B$6,$B$15,$B$16,$B$17,$B$18,$B$19,$B$11,$B$12,$B$13,$B$7,$B$8,AC29,AD29,$B$3,$B$14)</f>
        <v>-220.55487453257246</v>
      </c>
      <c r="AF29" s="23">
        <v>-3608.9752398737023</v>
      </c>
      <c r="AG29" s="23">
        <v>695.3759017352761</v>
      </c>
      <c r="AI29" s="23">
        <v>260</v>
      </c>
      <c r="AJ29" s="23">
        <f t="shared" si="1"/>
        <v>31.711276046643704</v>
      </c>
      <c r="AK29" s="23">
        <f t="array" ref="AK29:AM29">FLEXCOMPBIAXT1($B$4,$B$5,$B$6,$B$15,$B$16,$B$17,$B$18,$B$19,$B$11,$B$12,$B$13,$B$7,$B$8,AI29,AJ29,$B$3,$B$14)</f>
        <v>-112.74525811226258</v>
      </c>
      <c r="AL29" s="23">
        <v>-4392.6242347787838</v>
      </c>
      <c r="AM29" s="23">
        <v>225.65969784705811</v>
      </c>
      <c r="AO29" s="23">
        <v>-337.16415952062863</v>
      </c>
      <c r="AP29" s="23">
        <v>-1467.8859262861724</v>
      </c>
      <c r="AQ29" s="23">
        <v>286.87614767716519</v>
      </c>
      <c r="AR29" s="23">
        <f t="shared" si="3"/>
        <v>-1386.3013604048515</v>
      </c>
    </row>
    <row r="30" spans="1:44" x14ac:dyDescent="0.2">
      <c r="A30" s="24"/>
      <c r="B30" s="13"/>
      <c r="C30" s="13"/>
      <c r="D30" s="13"/>
      <c r="E30" s="13"/>
      <c r="F30" s="13"/>
      <c r="G30" s="13"/>
      <c r="H30" s="13"/>
      <c r="I30" s="24"/>
      <c r="J30" s="13"/>
      <c r="K30" s="13"/>
      <c r="L30" s="13"/>
      <c r="M30" s="13"/>
      <c r="N30" s="13"/>
      <c r="O30" s="13"/>
      <c r="P30" s="14"/>
      <c r="Q30" s="22">
        <v>-193.18312072753906</v>
      </c>
      <c r="R30" s="22">
        <v>1482.6181640625</v>
      </c>
      <c r="S30" s="22">
        <v>4.7538132667541504</v>
      </c>
      <c r="T30" s="23" t="s">
        <v>197</v>
      </c>
      <c r="U30" s="23">
        <f t="shared" si="2"/>
        <v>1456.3463620463619</v>
      </c>
      <c r="AC30" s="23">
        <v>270</v>
      </c>
      <c r="AD30" s="23">
        <f t="shared" si="0"/>
        <v>40.591583251953125</v>
      </c>
      <c r="AE30" s="23">
        <f t="array" ref="AE30:AG30">FLEXCOMPBIAXT1($B$4,$B$5,$B$6,$B$15,$B$16,$B$17,$B$18,$B$19,$B$11,$B$12,$B$13,$B$7,$B$8,AC30,AD30,$B$3,$B$14)</f>
        <v>-220.51704176758571</v>
      </c>
      <c r="AF30" s="23">
        <v>-3868.645750731559</v>
      </c>
      <c r="AG30" s="23">
        <v>1222.0417673297434</v>
      </c>
      <c r="AI30" s="23">
        <v>270</v>
      </c>
      <c r="AJ30" s="23">
        <f t="shared" si="1"/>
        <v>26.018218994140625</v>
      </c>
      <c r="AK30" s="23">
        <f t="array" ref="AK30:AM30">FLEXCOMPBIAXT1($B$4,$B$5,$B$6,$B$15,$B$16,$B$17,$B$18,$B$19,$B$11,$B$12,$B$13,$B$7,$B$8,AI30,AJ30,$B$3,$B$14)</f>
        <v>-112.74266546279429</v>
      </c>
      <c r="AL30" s="23">
        <v>-5046.0784206217631</v>
      </c>
      <c r="AM30" s="23">
        <v>873.50860847345893</v>
      </c>
      <c r="AO30" s="27">
        <v>-337.16415952062863</v>
      </c>
      <c r="AP30" s="27">
        <v>-7.6404819441383903E-13</v>
      </c>
      <c r="AQ30" s="27">
        <v>1.6611852602614653E-12</v>
      </c>
      <c r="AR30" s="27">
        <f t="shared" si="3"/>
        <v>-4.3343106881366243E-13</v>
      </c>
    </row>
    <row r="31" spans="1:44" x14ac:dyDescent="0.2">
      <c r="A31" s="24"/>
      <c r="B31" s="13"/>
      <c r="C31" s="13"/>
      <c r="D31" s="13"/>
      <c r="E31" s="13"/>
      <c r="F31" s="13"/>
      <c r="G31" s="13"/>
      <c r="H31" s="13"/>
      <c r="I31" s="24"/>
      <c r="J31" s="13"/>
      <c r="K31" s="13"/>
      <c r="L31" s="13"/>
      <c r="M31" s="13"/>
      <c r="N31" s="13"/>
      <c r="O31" s="13"/>
      <c r="P31" s="14"/>
      <c r="Q31" s="22">
        <v>-193.10670471191406</v>
      </c>
      <c r="R31" s="22">
        <v>1477.9271240234375</v>
      </c>
      <c r="S31" s="22">
        <v>-8.1433172225952148</v>
      </c>
      <c r="T31" s="23" t="s">
        <v>138</v>
      </c>
      <c r="U31" s="23">
        <f t="shared" si="2"/>
        <v>1449.2832021398619</v>
      </c>
      <c r="AC31" s="23">
        <v>280</v>
      </c>
      <c r="AD31" s="23">
        <f t="shared" si="0"/>
        <v>41.385334096626472</v>
      </c>
      <c r="AE31" s="23">
        <f t="array" ref="AE31:AG31">FLEXCOMPBIAXT1($B$4,$B$5,$B$6,$B$15,$B$16,$B$17,$B$18,$B$19,$B$11,$B$12,$B$13,$B$7,$B$8,AC31,AD31,$B$3,$B$14)</f>
        <v>-220.53525656235848</v>
      </c>
      <c r="AF31" s="23">
        <v>-3876.1011791458877</v>
      </c>
      <c r="AG31" s="23">
        <v>1436.6221085576487</v>
      </c>
      <c r="AI31" s="23">
        <v>280</v>
      </c>
      <c r="AJ31" s="23">
        <f t="shared" si="1"/>
        <v>24.921992588542068</v>
      </c>
      <c r="AK31" s="23">
        <f t="array" ref="AK31:AM31">FLEXCOMPBIAXT1($B$4,$B$5,$B$6,$B$15,$B$16,$B$17,$B$18,$B$19,$B$11,$B$12,$B$13,$B$7,$B$8,AI31,AJ31,$B$3,$B$14)</f>
        <v>-112.75937830441944</v>
      </c>
      <c r="AL31" s="23">
        <v>-5247.9306496984645</v>
      </c>
      <c r="AM31" s="23">
        <v>1585.5833923222151</v>
      </c>
    </row>
    <row r="32" spans="1:44" x14ac:dyDescent="0.2">
      <c r="A32" s="24"/>
      <c r="B32" s="13"/>
      <c r="C32" s="13"/>
      <c r="D32" s="13"/>
      <c r="E32" s="13"/>
      <c r="F32" s="13"/>
      <c r="G32" s="13"/>
      <c r="H32" s="13"/>
      <c r="I32" s="24"/>
      <c r="J32" s="13"/>
      <c r="K32" s="13"/>
      <c r="L32" s="13"/>
      <c r="M32" s="13"/>
      <c r="N32" s="13"/>
      <c r="O32" s="13"/>
      <c r="P32" s="14"/>
      <c r="Q32" s="22">
        <v>-201.91981506347656</v>
      </c>
      <c r="R32" s="22">
        <v>1310.0308837890625</v>
      </c>
      <c r="S32" s="22">
        <v>13.056838989257813</v>
      </c>
      <c r="T32" s="23" t="s">
        <v>190</v>
      </c>
      <c r="U32" s="23">
        <f t="shared" si="2"/>
        <v>1288.5052803318495</v>
      </c>
      <c r="AC32" s="23">
        <v>290</v>
      </c>
      <c r="AD32" s="23">
        <f t="shared" si="0"/>
        <v>42.329147257134004</v>
      </c>
      <c r="AE32" s="23">
        <f t="array" ref="AE32:AG32">FLEXCOMPBIAXT1($B$4,$B$5,$B$6,$B$15,$B$16,$B$17,$B$18,$B$19,$B$11,$B$12,$B$13,$B$7,$B$8,AC32,AD32,$B$3,$B$14)</f>
        <v>-220.52198075657626</v>
      </c>
      <c r="AF32" s="23">
        <v>-3817.1151069685266</v>
      </c>
      <c r="AG32" s="23">
        <v>1572.4902032720283</v>
      </c>
      <c r="AI32" s="23">
        <v>290</v>
      </c>
      <c r="AJ32" s="23">
        <f t="shared" si="1"/>
        <v>24.623257238103513</v>
      </c>
      <c r="AK32" s="23">
        <f t="array" ref="AK32:AM32">FLEXCOMPBIAXT1($B$4,$B$5,$B$6,$B$15,$B$16,$B$17,$B$18,$B$19,$B$11,$B$12,$B$13,$B$7,$B$8,AI32,AJ32,$B$3,$B$14)</f>
        <v>-112.80020166688064</v>
      </c>
      <c r="AL32" s="23">
        <v>-5048.2101167689871</v>
      </c>
      <c r="AM32" s="23">
        <v>2291.0843035122643</v>
      </c>
    </row>
    <row r="33" spans="1:45" x14ac:dyDescent="0.2">
      <c r="A33" s="24"/>
      <c r="B33" s="13"/>
      <c r="C33" s="13"/>
      <c r="D33" s="13"/>
      <c r="E33" s="13"/>
      <c r="F33" s="13"/>
      <c r="G33" s="13"/>
      <c r="H33" s="13"/>
      <c r="I33" s="24"/>
      <c r="J33" s="13"/>
      <c r="K33" s="13"/>
      <c r="L33" s="13"/>
      <c r="M33" s="13"/>
      <c r="N33" s="13"/>
      <c r="O33" s="13"/>
      <c r="P33" s="14"/>
      <c r="Q33" s="22">
        <v>-112.908203125</v>
      </c>
      <c r="R33" s="22">
        <v>1177.1680908203125</v>
      </c>
      <c r="S33" s="22">
        <v>739.99456787109375</v>
      </c>
      <c r="T33" s="23" t="s">
        <v>207</v>
      </c>
      <c r="U33" s="23">
        <f t="shared" si="2"/>
        <v>1296.6277119552099</v>
      </c>
      <c r="AC33" s="23">
        <v>300</v>
      </c>
      <c r="AD33" s="23">
        <f t="shared" si="0"/>
        <v>47.402165064348722</v>
      </c>
      <c r="AE33" s="23">
        <f t="array" ref="AE33:AG33">FLEXCOMPBIAXT1($B$4,$B$5,$B$6,$B$15,$B$16,$B$17,$B$18,$B$19,$B$11,$B$12,$B$13,$B$7,$B$8,AC33,AD33,$B$3,$B$14)</f>
        <v>-220.55754057084482</v>
      </c>
      <c r="AF33" s="23">
        <v>-3596.5382539641464</v>
      </c>
      <c r="AG33" s="23">
        <v>1669.9065378852672</v>
      </c>
      <c r="AI33" s="23">
        <v>300</v>
      </c>
      <c r="AJ33" s="23">
        <f t="shared" si="1"/>
        <v>29.556786744433527</v>
      </c>
      <c r="AK33" s="23">
        <f t="array" ref="AK33:AM33">FLEXCOMPBIAXT1($B$4,$B$5,$B$6,$B$15,$B$16,$B$17,$B$18,$B$19,$B$11,$B$12,$B$13,$B$7,$B$8,AI33,AJ33,$B$3,$B$14)</f>
        <v>-112.76363154486219</v>
      </c>
      <c r="AL33" s="23">
        <v>-4456.2613200354281</v>
      </c>
      <c r="AM33" s="23">
        <v>2775.987939154511</v>
      </c>
    </row>
    <row r="34" spans="1:45" x14ac:dyDescent="0.2">
      <c r="A34" s="24"/>
      <c r="B34" s="13"/>
      <c r="C34" s="13"/>
      <c r="D34" s="13"/>
      <c r="E34" s="13"/>
      <c r="F34" s="13"/>
      <c r="G34" s="13"/>
      <c r="H34" s="13"/>
      <c r="I34" s="24"/>
      <c r="J34" s="13"/>
      <c r="K34" s="13"/>
      <c r="L34" s="13"/>
      <c r="M34" s="13"/>
      <c r="N34" s="13"/>
      <c r="O34" s="13"/>
      <c r="P34" s="14"/>
      <c r="Q34" s="22">
        <v>-192.73565673828125</v>
      </c>
      <c r="R34" s="22">
        <v>1087.398193359375</v>
      </c>
      <c r="S34" s="22">
        <v>-715.2679443359375</v>
      </c>
      <c r="T34" s="23" t="s">
        <v>193</v>
      </c>
      <c r="U34" s="23">
        <f t="shared" si="2"/>
        <v>931.13958326882494</v>
      </c>
      <c r="AC34" s="23">
        <v>310</v>
      </c>
      <c r="AD34" s="23">
        <f t="shared" si="0"/>
        <v>51.367194640787844</v>
      </c>
      <c r="AE34" s="23">
        <f t="array" ref="AE34:AG34">FLEXCOMPBIAXT1($B$4,$B$5,$B$6,$B$15,$B$16,$B$17,$B$18,$B$19,$B$11,$B$12,$B$13,$B$7,$B$8,AC34,AD34,$B$3,$B$14)</f>
        <v>-220.5327245337152</v>
      </c>
      <c r="AF34" s="23">
        <v>-3364.1685831346572</v>
      </c>
      <c r="AG34" s="23">
        <v>1767.7713746586617</v>
      </c>
      <c r="AI34" s="23">
        <v>310</v>
      </c>
      <c r="AJ34" s="23">
        <f t="shared" si="1"/>
        <v>34.750622486160168</v>
      </c>
      <c r="AK34" s="23">
        <f t="array" ref="AK34:AM34">FLEXCOMPBIAXT1($B$4,$B$5,$B$6,$B$15,$B$16,$B$17,$B$18,$B$19,$B$11,$B$12,$B$13,$B$7,$B$8,AI34,AJ34,$B$3,$B$14)</f>
        <v>-112.75978140651804</v>
      </c>
      <c r="AL34" s="23">
        <v>-3777.4799434326615</v>
      </c>
      <c r="AM34" s="23">
        <v>2850.4524955049014</v>
      </c>
    </row>
    <row r="35" spans="1:45" x14ac:dyDescent="0.2">
      <c r="A35" s="24"/>
      <c r="B35" s="13"/>
      <c r="C35" s="13"/>
      <c r="D35" s="13"/>
      <c r="E35" s="13"/>
      <c r="F35" s="13"/>
      <c r="G35" s="13"/>
      <c r="H35" s="13"/>
      <c r="I35" s="24"/>
      <c r="J35" s="13"/>
      <c r="K35" s="13"/>
      <c r="L35" s="13"/>
      <c r="M35" s="13"/>
      <c r="N35" s="13"/>
      <c r="O35" s="13"/>
      <c r="P35" s="14"/>
      <c r="Q35" s="22">
        <v>-175.0601806640625</v>
      </c>
      <c r="R35" s="22">
        <v>1199.4664306640625</v>
      </c>
      <c r="S35" s="22">
        <v>14.428714752197266</v>
      </c>
      <c r="T35" s="23" t="s">
        <v>38</v>
      </c>
      <c r="U35" s="23">
        <f t="shared" si="2"/>
        <v>1180.2290531564124</v>
      </c>
      <c r="AC35" s="23">
        <v>320</v>
      </c>
      <c r="AD35" s="23">
        <f t="shared" si="0"/>
        <v>54.07357739162449</v>
      </c>
      <c r="AE35" s="23">
        <f t="array" ref="AE35:AG35">FLEXCOMPBIAXT1($B$4,$B$5,$B$6,$B$15,$B$16,$B$17,$B$18,$B$19,$B$11,$B$12,$B$13,$B$7,$B$8,AC35,AD35,$B$3,$B$14)</f>
        <v>-220.55884606105164</v>
      </c>
      <c r="AF35" s="23">
        <v>-3102.7996203449238</v>
      </c>
      <c r="AG35" s="23">
        <v>1853.6746310053761</v>
      </c>
      <c r="AI35" s="23">
        <v>320</v>
      </c>
      <c r="AJ35" s="23">
        <f t="shared" si="1"/>
        <v>38.905442071559122</v>
      </c>
      <c r="AK35" s="23">
        <f t="array" ref="AK35:AM35">FLEXCOMPBIAXT1($B$4,$B$5,$B$6,$B$15,$B$16,$B$17,$B$18,$B$19,$B$11,$B$12,$B$13,$B$7,$B$8,AI35,AJ35,$B$3,$B$14)</f>
        <v>-112.77524029862619</v>
      </c>
      <c r="AL35" s="23">
        <v>-3143.8961976403343</v>
      </c>
      <c r="AM35" s="23">
        <v>2819.702029261568</v>
      </c>
    </row>
    <row r="36" spans="1:45" x14ac:dyDescent="0.2">
      <c r="A36" s="24"/>
      <c r="B36" s="13"/>
      <c r="C36" s="13"/>
      <c r="D36" s="13"/>
      <c r="E36" s="13"/>
      <c r="F36" s="13"/>
      <c r="G36" s="13"/>
      <c r="H36" s="13"/>
      <c r="I36" s="24"/>
      <c r="J36" s="13"/>
      <c r="K36" s="13"/>
      <c r="L36" s="13"/>
      <c r="M36" s="13"/>
      <c r="N36" s="13"/>
      <c r="O36" s="13"/>
      <c r="P36" s="14"/>
      <c r="Q36" s="22">
        <v>-194.33576965332031</v>
      </c>
      <c r="R36" s="22">
        <v>-0.28983169794082642</v>
      </c>
      <c r="S36" s="22">
        <v>-1137.40185546875</v>
      </c>
      <c r="T36" s="23" t="s">
        <v>193</v>
      </c>
      <c r="U36" s="23">
        <f t="shared" si="2"/>
        <v>-217.06609604352312</v>
      </c>
      <c r="AC36" s="23">
        <v>330</v>
      </c>
      <c r="AD36" s="23">
        <f t="shared" si="0"/>
        <v>55.343879836451762</v>
      </c>
      <c r="AE36" s="23">
        <f t="array" ref="AE36:AG36">FLEXCOMPBIAXT1($B$4,$B$5,$B$6,$B$15,$B$16,$B$17,$B$18,$B$19,$B$11,$B$12,$B$13,$B$7,$B$8,AC36,AD36,$B$3,$B$14)</f>
        <v>-220.52953482431701</v>
      </c>
      <c r="AF36" s="23">
        <v>-2787.7444053077847</v>
      </c>
      <c r="AG36" s="23">
        <v>1949.1574116008064</v>
      </c>
      <c r="AI36" s="23">
        <v>330</v>
      </c>
      <c r="AJ36" s="23">
        <f t="shared" si="1"/>
        <v>41.60534002901683</v>
      </c>
      <c r="AK36" s="23">
        <f t="array" ref="AK36:AM36">FLEXCOMPBIAXT1($B$4,$B$5,$B$6,$B$15,$B$16,$B$17,$B$18,$B$19,$B$11,$B$12,$B$13,$B$7,$B$8,AI36,AJ36,$B$3,$B$14)</f>
        <v>-112.7908996816689</v>
      </c>
      <c r="AL36" s="23">
        <v>-2553.901051611304</v>
      </c>
      <c r="AM36" s="23">
        <v>2729.4149035134583</v>
      </c>
    </row>
    <row r="37" spans="1:45" x14ac:dyDescent="0.2">
      <c r="A37" s="24"/>
      <c r="B37" s="13"/>
      <c r="C37" s="13"/>
      <c r="D37" s="13"/>
      <c r="E37" s="13"/>
      <c r="F37" s="13"/>
      <c r="G37" s="13"/>
      <c r="H37" s="13"/>
      <c r="I37" s="24"/>
      <c r="J37" s="13"/>
      <c r="K37" s="13"/>
      <c r="L37" s="13"/>
      <c r="M37" s="13"/>
      <c r="N37" s="13"/>
      <c r="O37" s="13"/>
      <c r="P37" s="14"/>
      <c r="Q37" s="22">
        <v>-113.36925506591797</v>
      </c>
      <c r="R37" s="22">
        <v>336.78948974609375</v>
      </c>
      <c r="S37" s="22">
        <v>-1142.3924560546875</v>
      </c>
      <c r="T37" s="23" t="s">
        <v>194</v>
      </c>
      <c r="U37" s="23">
        <f t="shared" si="2"/>
        <v>112.8830532125582</v>
      </c>
      <c r="AC37" s="23">
        <v>340</v>
      </c>
      <c r="AD37" s="23">
        <f t="shared" si="0"/>
        <v>54.918943463418742</v>
      </c>
      <c r="AE37" s="23">
        <f t="array" ref="AE37:AG37">FLEXCOMPBIAXT1($B$4,$B$5,$B$6,$B$15,$B$16,$B$17,$B$18,$B$19,$B$11,$B$12,$B$13,$B$7,$B$8,AC37,AD37,$B$3,$B$14)</f>
        <v>-220.54627283282608</v>
      </c>
      <c r="AF37" s="23">
        <v>-2266.8173367169961</v>
      </c>
      <c r="AG37" s="23">
        <v>2110.3796266630079</v>
      </c>
      <c r="AI37" s="23">
        <v>340</v>
      </c>
      <c r="AJ37" s="23">
        <f t="shared" si="1"/>
        <v>42.200338866518109</v>
      </c>
      <c r="AK37" s="23">
        <f t="array" ref="AK37:AM37">FLEXCOMPBIAXT1($B$4,$B$5,$B$6,$B$15,$B$16,$B$17,$B$18,$B$19,$B$11,$B$12,$B$13,$B$7,$B$8,AI37,AJ37,$B$3,$B$14)</f>
        <v>-112.7512830460726</v>
      </c>
      <c r="AL37" s="23">
        <v>-2103.3840844677757</v>
      </c>
      <c r="AM37" s="23">
        <v>2727.6941350257989</v>
      </c>
    </row>
    <row r="38" spans="1:45" x14ac:dyDescent="0.2">
      <c r="A38" s="24"/>
      <c r="B38" s="13"/>
      <c r="C38" s="13"/>
      <c r="D38" s="13"/>
      <c r="E38" s="13"/>
      <c r="F38" s="13"/>
      <c r="G38" s="13"/>
      <c r="H38" s="13"/>
      <c r="I38" s="24"/>
      <c r="J38" s="13"/>
      <c r="K38" s="13"/>
      <c r="L38" s="13"/>
      <c r="M38" s="13"/>
      <c r="N38" s="13"/>
      <c r="O38" s="13"/>
      <c r="P38" s="14"/>
      <c r="Q38" s="22">
        <v>-193.53570556640625</v>
      </c>
      <c r="R38" s="22">
        <v>544.88232421875</v>
      </c>
      <c r="S38" s="22">
        <v>-933.41748046875</v>
      </c>
      <c r="T38" s="23" t="s">
        <v>193</v>
      </c>
      <c r="U38" s="23">
        <f t="shared" si="2"/>
        <v>356.99064590702119</v>
      </c>
      <c r="AC38" s="23">
        <v>350</v>
      </c>
      <c r="AD38" s="23">
        <f t="shared" si="0"/>
        <v>52.285721650462939</v>
      </c>
      <c r="AE38" s="23">
        <f t="array" ref="AE38:AG38">FLEXCOMPBIAXT1($B$4,$B$5,$B$6,$B$15,$B$16,$B$17,$B$18,$B$19,$B$11,$B$12,$B$13,$B$7,$B$8,AC38,AD38,$B$3,$B$14)</f>
        <v>-220.54519189339049</v>
      </c>
      <c r="AF38" s="23">
        <v>-1499.1884500126075</v>
      </c>
      <c r="AG38" s="23">
        <v>2278.6416887625928</v>
      </c>
      <c r="AI38" s="23">
        <v>350</v>
      </c>
      <c r="AJ38" s="23">
        <f t="shared" si="1"/>
        <v>41.134219941044037</v>
      </c>
      <c r="AK38" s="23">
        <f t="array" ref="AK38:AM38">FLEXCOMPBIAXT1($B$4,$B$5,$B$6,$B$15,$B$16,$B$17,$B$18,$B$19,$B$11,$B$12,$B$13,$B$7,$B$8,AI38,AJ38,$B$3,$B$14)</f>
        <v>-112.77922227573613</v>
      </c>
      <c r="AL38" s="23">
        <v>-1681.2121663890084</v>
      </c>
      <c r="AM38" s="23">
        <v>2739.8753901241212</v>
      </c>
    </row>
    <row r="39" spans="1:45" x14ac:dyDescent="0.2">
      <c r="A39" s="24"/>
      <c r="B39" s="13"/>
      <c r="C39" s="13"/>
      <c r="D39" s="13"/>
      <c r="E39" s="13"/>
      <c r="F39" s="13"/>
      <c r="G39" s="13"/>
      <c r="H39" s="13"/>
      <c r="I39" s="24"/>
      <c r="J39" s="13"/>
      <c r="K39" s="13"/>
      <c r="L39" s="13"/>
      <c r="M39" s="13"/>
      <c r="N39" s="13"/>
      <c r="O39" s="13"/>
      <c r="P39" s="14"/>
      <c r="Q39" s="22">
        <v>-194.27473449707031</v>
      </c>
      <c r="R39" s="22">
        <v>251.18789672851563</v>
      </c>
      <c r="S39" s="22">
        <v>960.7196044921875</v>
      </c>
      <c r="T39" s="23" t="s">
        <v>192</v>
      </c>
      <c r="U39" s="23">
        <f t="shared" si="2"/>
        <v>429.69043680744994</v>
      </c>
      <c r="AC39" s="27">
        <v>360</v>
      </c>
      <c r="AD39" s="27">
        <f>AD3</f>
        <v>47.961349487304688</v>
      </c>
      <c r="AE39" s="27">
        <f t="shared" ref="AE39:AG39" si="5">AE3</f>
        <v>-220.55418008625546</v>
      </c>
      <c r="AF39" s="27">
        <f t="shared" si="5"/>
        <v>-687.32361203873154</v>
      </c>
      <c r="AG39" s="27">
        <f t="shared" si="5"/>
        <v>2348.9938289338033</v>
      </c>
      <c r="AI39" s="27">
        <v>360</v>
      </c>
      <c r="AJ39" s="27">
        <f t="shared" si="1"/>
        <v>37.784805297851577</v>
      </c>
      <c r="AK39" s="27">
        <f t="shared" ref="AK39:AM39" si="6">AK3</f>
        <v>-112.75392955795202</v>
      </c>
      <c r="AL39" s="27">
        <f t="shared" si="6"/>
        <v>-1034.4482201176381</v>
      </c>
      <c r="AM39" s="27">
        <f t="shared" si="6"/>
        <v>2787.6996171434903</v>
      </c>
    </row>
    <row r="40" spans="1:45" x14ac:dyDescent="0.2">
      <c r="A40" s="24"/>
      <c r="B40" s="13"/>
      <c r="C40" s="13"/>
      <c r="D40" s="13"/>
      <c r="E40" s="13"/>
      <c r="F40" s="13"/>
      <c r="G40" s="13"/>
      <c r="H40" s="13"/>
      <c r="I40" s="24"/>
      <c r="J40" s="13"/>
      <c r="K40" s="13"/>
      <c r="L40" s="13"/>
      <c r="M40" s="13"/>
      <c r="N40" s="13"/>
      <c r="O40" s="13"/>
      <c r="P40" s="14"/>
      <c r="Q40" s="22">
        <v>-220.53742980957031</v>
      </c>
      <c r="R40" s="22">
        <v>-827.5919189453125</v>
      </c>
      <c r="S40" s="22">
        <v>13.473413467407227</v>
      </c>
      <c r="T40" s="23" t="s">
        <v>23</v>
      </c>
      <c r="U40" s="23">
        <f t="shared" si="2"/>
        <v>-809.85339825635447</v>
      </c>
    </row>
    <row r="41" spans="1:45" x14ac:dyDescent="0.2">
      <c r="A41" s="24"/>
      <c r="B41" s="13"/>
      <c r="C41" s="13"/>
      <c r="D41" s="13"/>
      <c r="E41" s="13"/>
      <c r="F41" s="13"/>
      <c r="G41" s="13"/>
      <c r="H41" s="13"/>
      <c r="I41" s="24"/>
      <c r="J41" s="13"/>
      <c r="K41" s="13"/>
      <c r="L41" s="13"/>
      <c r="M41" s="13"/>
      <c r="N41" s="13"/>
      <c r="O41" s="13"/>
      <c r="P41" s="14"/>
      <c r="Q41" s="22">
        <v>-112.76921844482422</v>
      </c>
      <c r="R41" s="22">
        <v>352.224365234375</v>
      </c>
      <c r="S41" s="22">
        <v>-939.00054931640625</v>
      </c>
      <c r="T41" s="23" t="s">
        <v>194</v>
      </c>
      <c r="U41" s="23">
        <f t="shared" si="2"/>
        <v>166.80019923313321</v>
      </c>
      <c r="AC41" s="7">
        <f>XCOMPRESST1($B$4,$B$5,$B$6,$B$15,$B$16,$B$17,$B$18,$B$19,$B$11,$B$12,$B$13,$B$7,$B$8,B9,$AD$1,$B$3,$B$14)</f>
        <v>52.802618497512903</v>
      </c>
      <c r="AD41" s="7">
        <f t="array" ref="AD41:AF41">FLEXCOMPBIAXT1($B$4,$B$5,$B$6,$B$15,$B$16,$B$17,$B$18,$B$19,$B$11,$B$12,$B$13,$B$7,$B$8,B9,AC41,$B$3,$B$14)</f>
        <v>-220.51717976660581</v>
      </c>
      <c r="AE41" s="7">
        <v>3129.1738387365626</v>
      </c>
      <c r="AF41" s="7">
        <v>-90.587966529198113</v>
      </c>
      <c r="AG41" s="7">
        <f t="shared" ref="AG41:AG42" si="7">AF41*COS($X$6)+AE41*SIN($X$6)</f>
        <v>3054.547513983623</v>
      </c>
      <c r="AI41" s="7">
        <f>XCOMPRESST1($B$4,$B$5,$B$6,$B$15,$B$16,$B$17,$B$18,$B$19,$B$11,$B$12,$B$13,$B$7,$B$8,B9,$AJ$1,$B$3,$B$14)</f>
        <v>40.83448841783116</v>
      </c>
      <c r="AJ41" s="7">
        <f t="array" ref="AJ41:AL41">FLEXCOMPBIAXT1($B$4,$B$5,$B$6,$B$15,$B$16,$B$17,$B$18,$B$19,$B$11,$B$12,$B$13,$B$7,$B$8,B9,AI41,$B$3,$B$14)</f>
        <v>-112.74316315088717</v>
      </c>
      <c r="AK41" s="7">
        <v>3707.0960380717547</v>
      </c>
      <c r="AL41" s="7">
        <v>-570.13360329734564</v>
      </c>
      <c r="AM41" s="7">
        <f t="shared" ref="AM41:AM42" si="8">AL41*COS($X$6)+AK41*SIN($X$6)</f>
        <v>3530.4774753665561</v>
      </c>
    </row>
    <row r="42" spans="1:45" x14ac:dyDescent="0.2">
      <c r="A42" s="34"/>
      <c r="B42" s="35"/>
      <c r="C42" s="35"/>
      <c r="D42" s="35"/>
      <c r="E42" s="35"/>
      <c r="F42" s="35"/>
      <c r="G42" s="35"/>
      <c r="H42" s="35"/>
      <c r="I42" s="34"/>
      <c r="J42" s="35"/>
      <c r="K42" s="35"/>
      <c r="L42" s="35"/>
      <c r="M42" s="35"/>
      <c r="N42" s="35"/>
      <c r="O42" s="35"/>
      <c r="P42" s="37"/>
      <c r="Q42" s="40">
        <v>-203.51991271972656</v>
      </c>
      <c r="R42" s="40">
        <v>-733.01385498046875</v>
      </c>
      <c r="S42" s="40">
        <v>352.15841674804688</v>
      </c>
      <c r="T42" s="27" t="s">
        <v>190</v>
      </c>
      <c r="U42" s="27">
        <f t="shared" si="2"/>
        <v>-652.45783040309368</v>
      </c>
      <c r="AC42" s="7">
        <f>XCOMPRESST1($B$4,$B$5,$B$6,$B$15,$B$16,$B$17,$B$18,$B$19,$B$11,$B$12,$B$13,$B$7,$B$8,B9+180,$AD$1,$B$3,$B$14)</f>
        <v>45.3553335069521</v>
      </c>
      <c r="AD42" s="7">
        <f t="array" ref="AD42:AF42">FLEXCOMPBIAXT1($B$4,$B$5,$B$6,$B$15,$B$16,$B$17,$B$18,$B$19,$B$11,$B$12,$B$13,$B$7,$B$8,B9+180,AC42,$B$3,$B$14)</f>
        <v>-220.53919908650175</v>
      </c>
      <c r="AE42" s="7">
        <v>-3585.4204804873052</v>
      </c>
      <c r="AF42" s="7">
        <v>654.27202670051474</v>
      </c>
      <c r="AG42" s="7">
        <f t="shared" si="7"/>
        <v>-3394.9961007120091</v>
      </c>
      <c r="AI42" s="7">
        <f>XCOMPRESST1($B$4,$B$5,$B$6,$B$15,$B$16,$B$17,$B$18,$B$19,$B$11,$B$12,$B$13,$B$7,$B$8,B9+180,$AJ$1,$B$3,$B$14)</f>
        <v>32.209900018645101</v>
      </c>
      <c r="AJ42" s="7">
        <f t="array" ref="AJ42:AL42">FLEXCOMPBIAXT1($B$4,$B$5,$B$6,$B$15,$B$16,$B$17,$B$18,$B$19,$B$11,$B$12,$B$13,$B$7,$B$8,B9+180,AI42,$B$3,$B$14)</f>
        <v>-112.73922258523805</v>
      </c>
      <c r="AK42" s="7">
        <v>-4334.6104640061949</v>
      </c>
      <c r="AL42" s="7">
        <v>169.51334866748689</v>
      </c>
      <c r="AM42" s="7">
        <f t="shared" si="8"/>
        <v>-4222.8446236394957</v>
      </c>
    </row>
    <row r="43" spans="1:45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</row>
    <row r="44" spans="1:45" x14ac:dyDescent="0.2">
      <c r="A44" s="3" t="s">
        <v>84</v>
      </c>
      <c r="B44" s="3" t="s">
        <v>85</v>
      </c>
      <c r="C44" s="3" t="s">
        <v>86</v>
      </c>
      <c r="D44" s="3" t="s">
        <v>87</v>
      </c>
      <c r="E44" s="3" t="s">
        <v>88</v>
      </c>
      <c r="F44" s="3" t="s">
        <v>89</v>
      </c>
      <c r="H44" s="3" t="s">
        <v>90</v>
      </c>
      <c r="I44" s="3" t="s">
        <v>91</v>
      </c>
      <c r="J44" s="3" t="s">
        <v>92</v>
      </c>
      <c r="K44" s="3" t="s">
        <v>93</v>
      </c>
      <c r="W44" s="3" t="s">
        <v>94</v>
      </c>
      <c r="X44" s="3" t="s">
        <v>95</v>
      </c>
      <c r="Y44" s="3" t="s">
        <v>96</v>
      </c>
      <c r="Z44" s="3" t="s">
        <v>97</v>
      </c>
      <c r="AA44" s="3" t="s">
        <v>98</v>
      </c>
      <c r="AB44" s="3" t="s">
        <v>99</v>
      </c>
      <c r="AC44" s="3" t="s">
        <v>100</v>
      </c>
      <c r="AD44" s="3" t="s">
        <v>101</v>
      </c>
      <c r="AE44" s="3" t="s">
        <v>102</v>
      </c>
      <c r="AF44" s="3" t="s">
        <v>103</v>
      </c>
      <c r="AG44" s="3" t="s">
        <v>104</v>
      </c>
      <c r="AH44" s="3" t="s">
        <v>105</v>
      </c>
      <c r="AI44" s="3" t="s">
        <v>106</v>
      </c>
    </row>
    <row r="45" spans="1:45" x14ac:dyDescent="0.2">
      <c r="A45" s="42">
        <f t="array" ref="A45:B53">CONCTE1(B15,B16,B17,B18,B19,B14)</f>
        <v>0</v>
      </c>
      <c r="B45" s="42">
        <v>0</v>
      </c>
      <c r="C45" s="42">
        <f t="shared" ref="C45:C53" ca="1" si="9">A45-$X$15</f>
        <v>-38.555150243958636</v>
      </c>
      <c r="D45" s="42">
        <f t="shared" ref="D45:D53" ca="1" si="10">B45-$X$16</f>
        <v>-20.51618029275037</v>
      </c>
      <c r="E45" s="42">
        <f t="shared" ref="E45:E53" ca="1" si="11">C45*COS($X$6)+D45*SIN($X$6)</f>
        <v>-27.488465554291793</v>
      </c>
      <c r="F45" s="42">
        <f t="shared" ref="F45:F53" ca="1" si="12">-C45*SIN($X$6)+D45*COS($X$6)</f>
        <v>33.938142636410966</v>
      </c>
      <c r="H45" s="18">
        <f t="array" aca="1" ref="H45:I55" ca="1">VERTCOMPRES(E45:F53,X21)</f>
        <v>-27.488465554291793</v>
      </c>
      <c r="I45" s="18">
        <f ca="1"/>
        <v>33.938142636410966</v>
      </c>
      <c r="J45" s="18">
        <f t="shared" ref="J45:J55" ca="1" si="13">H45*COS($X$6)-I45*SIN($X$6)</f>
        <v>-38.555150243958636</v>
      </c>
      <c r="K45" s="18">
        <f t="shared" ref="K45:K55" ca="1" si="14">H45*SIN($X$6)+I45*COS($X$6)</f>
        <v>-20.516180292750366</v>
      </c>
      <c r="W45" s="42">
        <f t="array" ref="W45:Y72">REBARTE1(B15,B16,B17,B18,B19,B11,B12,B13,B7,B8,B14)</f>
        <v>5</v>
      </c>
      <c r="X45" s="42">
        <v>5</v>
      </c>
      <c r="Y45" s="42">
        <v>3.1415926535897931</v>
      </c>
      <c r="Z45" s="18">
        <f t="shared" ref="Z45:Z72" ca="1" si="15">W45-$X$15</f>
        <v>-33.555150243958636</v>
      </c>
      <c r="AA45" s="18">
        <f t="shared" ref="AA45:AA72" ca="1" si="16">X45-$X$16</f>
        <v>-15.51618029275037</v>
      </c>
      <c r="AB45" s="18">
        <f t="shared" ref="AB45:AB72" ca="1" si="17">Z45*COS($X$6)+AA45*SIN($X$6)</f>
        <v>-21.6271521935188</v>
      </c>
      <c r="AC45" s="18">
        <f t="shared" ref="AC45:AC72" ca="1" si="18">-Z45*SIN($X$6)+AA45*COS($X$6)</f>
        <v>29.98276582922508</v>
      </c>
      <c r="AD45" s="18">
        <f t="shared" ref="AD45:AD72" ca="1" si="19">$X$18-AC45</f>
        <v>8.7202181911536556</v>
      </c>
      <c r="AE45" s="18">
        <f t="shared" ref="AE45:AE72" ca="1" si="20">($B$10-AD45)*$AA$4</f>
        <v>-2.2232324753057755</v>
      </c>
      <c r="AF45" s="18">
        <f t="shared" ref="AF45:AF72" ca="1" si="21">IF(ABS(AE45)&lt;$X$7,AE45*$B$6/1000,SIGN(AE45)*$B$5)-IF(AD45&lt;$X$20,$X$8)</f>
        <v>-4.0214998148381706</v>
      </c>
      <c r="AG45" s="18">
        <f ca="1">Y45*AF45</f>
        <v>-12.63391427470831</v>
      </c>
      <c r="AH45" s="18">
        <f ca="1">AG45*AC45</f>
        <v>-378.79969320508326</v>
      </c>
      <c r="AI45" s="18">
        <f ca="1">AG45*AB45</f>
        <v>273.23558681898629</v>
      </c>
    </row>
    <row r="46" spans="1:45" x14ac:dyDescent="0.2">
      <c r="A46" s="43">
        <v>70</v>
      </c>
      <c r="B46" s="43">
        <v>0</v>
      </c>
      <c r="C46" s="43">
        <f t="shared" ca="1" si="9"/>
        <v>31.444849756041364</v>
      </c>
      <c r="D46" s="43">
        <f t="shared" ca="1" si="10"/>
        <v>-20.51618029275037</v>
      </c>
      <c r="E46" s="43">
        <f t="shared" ca="1" si="11"/>
        <v>-14.146909679182031</v>
      </c>
      <c r="F46" s="43">
        <f t="shared" ca="1" si="12"/>
        <v>-34.778688539301179</v>
      </c>
      <c r="H46" s="23">
        <f ca="1"/>
        <v>-22.855555763196577</v>
      </c>
      <c r="I46" s="23">
        <f ca="1"/>
        <v>10.075942234362692</v>
      </c>
      <c r="J46" s="23">
        <f t="shared" ca="1" si="13"/>
        <v>-14.247364224661471</v>
      </c>
      <c r="K46" s="23">
        <f t="shared" ca="1" si="14"/>
        <v>-20.516180292750366</v>
      </c>
      <c r="W46" s="43">
        <v>40</v>
      </c>
      <c r="X46" s="43">
        <v>5</v>
      </c>
      <c r="Y46" s="43">
        <v>3.1415926535897931</v>
      </c>
      <c r="Z46" s="23">
        <f t="shared" ca="1" si="15"/>
        <v>1.4448497560413642</v>
      </c>
      <c r="AA46" s="23">
        <f t="shared" ca="1" si="16"/>
        <v>-15.51618029275037</v>
      </c>
      <c r="AB46" s="23">
        <f t="shared" ca="1" si="17"/>
        <v>-14.956374255963919</v>
      </c>
      <c r="AC46" s="23">
        <f t="shared" ca="1" si="18"/>
        <v>-4.3756497586309901</v>
      </c>
      <c r="AD46" s="23">
        <f t="shared" ca="1" si="19"/>
        <v>43.078633779009728</v>
      </c>
      <c r="AE46" s="23">
        <f t="shared" ca="1" si="20"/>
        <v>0.83729890631365989</v>
      </c>
      <c r="AF46" s="23">
        <f t="shared" ca="1" si="21"/>
        <v>1.7583277032586857</v>
      </c>
      <c r="AG46" s="23">
        <f t="shared" ref="AG46:AG72" ca="1" si="22">Y46*AF46</f>
        <v>5.5239493951609004</v>
      </c>
      <c r="AH46" s="23">
        <f t="shared" ref="AH46:AH72" ca="1" si="23">AG46*AC46</f>
        <v>-24.170867837625597</v>
      </c>
      <c r="AI46" s="23">
        <f t="shared" ref="AI46:AI72" ca="1" si="24">AG46*AB46</f>
        <v>-82.618254525031958</v>
      </c>
    </row>
    <row r="47" spans="1:45" x14ac:dyDescent="0.2">
      <c r="A47" s="43">
        <v>70</v>
      </c>
      <c r="B47" s="43">
        <v>25</v>
      </c>
      <c r="C47" s="43">
        <f t="shared" ca="1" si="9"/>
        <v>31.444849756041364</v>
      </c>
      <c r="D47" s="43">
        <f t="shared" ca="1" si="10"/>
        <v>4.48381970724963</v>
      </c>
      <c r="E47" s="43">
        <f t="shared" ca="1" si="11"/>
        <v>10.394815740715162</v>
      </c>
      <c r="F47" s="43">
        <f t="shared" ca="1" si="12"/>
        <v>-30.013847155333405</v>
      </c>
      <c r="H47" s="23">
        <f ca="1"/>
        <v>2.6112763077580361</v>
      </c>
      <c r="I47" s="23">
        <f ca="1"/>
        <v>10.075942234362692</v>
      </c>
      <c r="J47" s="23">
        <f t="shared" ca="1" si="13"/>
        <v>-9.3935476098517814</v>
      </c>
      <c r="K47" s="23">
        <f t="shared" ca="1" si="14"/>
        <v>4.48381970724963</v>
      </c>
      <c r="W47" s="43">
        <v>55</v>
      </c>
      <c r="X47" s="43">
        <v>5</v>
      </c>
      <c r="Y47" s="43">
        <v>3.1415926535897931</v>
      </c>
      <c r="Z47" s="23">
        <f t="shared" ca="1" si="15"/>
        <v>16.444849756041364</v>
      </c>
      <c r="AA47" s="23">
        <f t="shared" ca="1" si="16"/>
        <v>-15.51618029275037</v>
      </c>
      <c r="AB47" s="23">
        <f t="shared" ca="1" si="17"/>
        <v>-12.097469425583256</v>
      </c>
      <c r="AC47" s="23">
        <f t="shared" ca="1" si="18"/>
        <v>-19.100685010569304</v>
      </c>
      <c r="AD47" s="23">
        <f t="shared" ca="1" si="19"/>
        <v>57.803669030948043</v>
      </c>
      <c r="AE47" s="23">
        <f t="shared" ca="1" si="20"/>
        <v>2.1489552127219893</v>
      </c>
      <c r="AF47" s="23">
        <f t="shared" ca="1" si="21"/>
        <v>4.1999998092651367</v>
      </c>
      <c r="AG47" s="23">
        <f t="shared" ca="1" si="22"/>
        <v>13.194688545865885</v>
      </c>
      <c r="AH47" s="23">
        <f t="shared" ca="1" si="23"/>
        <v>-252.027589727151</v>
      </c>
      <c r="AI47" s="23">
        <f t="shared" ca="1" si="24"/>
        <v>-159.62234126370615</v>
      </c>
    </row>
    <row r="48" spans="1:45" x14ac:dyDescent="0.2">
      <c r="A48" s="43">
        <v>60</v>
      </c>
      <c r="B48" s="43">
        <v>25</v>
      </c>
      <c r="C48" s="43">
        <f t="shared" ca="1" si="9"/>
        <v>21.444849756041364</v>
      </c>
      <c r="D48" s="43">
        <f t="shared" ca="1" si="10"/>
        <v>4.48381970724963</v>
      </c>
      <c r="E48" s="43">
        <f t="shared" ca="1" si="11"/>
        <v>8.4888791871280525</v>
      </c>
      <c r="F48" s="43">
        <f t="shared" ca="1" si="12"/>
        <v>-20.197156987374527</v>
      </c>
      <c r="H48" s="23">
        <f ca="1"/>
        <v>-2.9467401343946014</v>
      </c>
      <c r="I48" s="23">
        <f ca="1"/>
        <v>38.702984020378736</v>
      </c>
      <c r="J48" s="23">
        <f t="shared" ca="1" si="13"/>
        <v>-38.555150243958636</v>
      </c>
      <c r="K48" s="23">
        <f t="shared" ca="1" si="14"/>
        <v>4.48381970724963</v>
      </c>
      <c r="W48" s="43">
        <v>65</v>
      </c>
      <c r="X48" s="43">
        <v>5</v>
      </c>
      <c r="Y48" s="43">
        <v>3.1415926535897931</v>
      </c>
      <c r="Z48" s="23">
        <f t="shared" ca="1" si="15"/>
        <v>26.444849756041364</v>
      </c>
      <c r="AA48" s="23">
        <f t="shared" ca="1" si="16"/>
        <v>-15.51618029275037</v>
      </c>
      <c r="AB48" s="23">
        <f t="shared" ca="1" si="17"/>
        <v>-10.191532871996147</v>
      </c>
      <c r="AC48" s="23">
        <f t="shared" ca="1" si="18"/>
        <v>-28.917375178528182</v>
      </c>
      <c r="AD48" s="23">
        <f t="shared" ca="1" si="19"/>
        <v>67.620359198906925</v>
      </c>
      <c r="AE48" s="23">
        <f t="shared" ca="1" si="20"/>
        <v>3.0233927503275426</v>
      </c>
      <c r="AF48" s="23">
        <f t="shared" ca="1" si="21"/>
        <v>4.1999998092651367</v>
      </c>
      <c r="AG48" s="23">
        <f t="shared" ca="1" si="22"/>
        <v>13.194688545865885</v>
      </c>
      <c r="AH48" s="23">
        <f t="shared" ca="1" si="23"/>
        <v>-381.55575904463228</v>
      </c>
      <c r="AI48" s="23">
        <f t="shared" ca="1" si="24"/>
        <v>-134.4741020509432</v>
      </c>
    </row>
    <row r="49" spans="1:35" x14ac:dyDescent="0.2">
      <c r="A49" s="43">
        <v>60</v>
      </c>
      <c r="B49" s="43">
        <v>55</v>
      </c>
      <c r="C49" s="43">
        <f t="shared" ca="1" si="9"/>
        <v>21.444849756041364</v>
      </c>
      <c r="D49" s="43">
        <f t="shared" ca="1" si="10"/>
        <v>34.48381970724963</v>
      </c>
      <c r="E49" s="43">
        <f t="shared" ca="1" si="11"/>
        <v>37.938949691004687</v>
      </c>
      <c r="F49" s="43">
        <f t="shared" ca="1" si="12"/>
        <v>-14.479347326613198</v>
      </c>
      <c r="H49" s="23">
        <f ca="1"/>
        <v>-27.488465554291793</v>
      </c>
      <c r="I49" s="23">
        <f ca="1"/>
        <v>33.938142636410966</v>
      </c>
      <c r="J49" s="23">
        <f t="shared" ca="1" si="13"/>
        <v>-38.555150243958636</v>
      </c>
      <c r="K49" s="23">
        <f t="shared" ca="1" si="14"/>
        <v>-20.516180292750366</v>
      </c>
      <c r="W49" s="43">
        <v>65</v>
      </c>
      <c r="X49" s="43">
        <v>20</v>
      </c>
      <c r="Y49" s="43">
        <v>3.1415926535897931</v>
      </c>
      <c r="Z49" s="23">
        <f t="shared" ca="1" si="15"/>
        <v>26.444849756041364</v>
      </c>
      <c r="AA49" s="23">
        <f t="shared" ca="1" si="16"/>
        <v>-0.51618029275037003</v>
      </c>
      <c r="AB49" s="23">
        <f t="shared" ca="1" si="17"/>
        <v>4.5335023799421688</v>
      </c>
      <c r="AC49" s="23">
        <f t="shared" ca="1" si="18"/>
        <v>-26.05847034814752</v>
      </c>
      <c r="AD49" s="23">
        <f t="shared" ca="1" si="19"/>
        <v>64.761454368526259</v>
      </c>
      <c r="AE49" s="23">
        <f t="shared" ca="1" si="20"/>
        <v>2.7687311834089559</v>
      </c>
      <c r="AF49" s="23">
        <f t="shared" ca="1" si="21"/>
        <v>4.1999998092651367</v>
      </c>
      <c r="AG49" s="23">
        <f t="shared" ca="1" si="22"/>
        <v>13.194688545865885</v>
      </c>
      <c r="AH49" s="23">
        <f t="shared" ca="1" si="23"/>
        <v>-343.83340022548788</v>
      </c>
      <c r="AI49" s="23">
        <f t="shared" ca="1" si="24"/>
        <v>59.818151925278663</v>
      </c>
    </row>
    <row r="50" spans="1:35" x14ac:dyDescent="0.2">
      <c r="A50" s="43">
        <v>35</v>
      </c>
      <c r="B50" s="43">
        <v>55</v>
      </c>
      <c r="C50" s="43">
        <f t="shared" ca="1" si="9"/>
        <v>-3.5551502439586358</v>
      </c>
      <c r="D50" s="43">
        <f t="shared" ca="1" si="10"/>
        <v>34.48381970724963</v>
      </c>
      <c r="E50" s="43">
        <f t="shared" ca="1" si="11"/>
        <v>33.17410830703691</v>
      </c>
      <c r="F50" s="43">
        <f t="shared" ca="1" si="12"/>
        <v>10.062378093283993</v>
      </c>
      <c r="H50" s="23">
        <f ca="1"/>
        <v>-27.488465554291793</v>
      </c>
      <c r="I50" s="23">
        <f ca="1"/>
        <v>33.938142636410966</v>
      </c>
      <c r="J50" s="23">
        <f t="shared" ca="1" si="13"/>
        <v>-38.555150243958636</v>
      </c>
      <c r="K50" s="23">
        <f t="shared" ca="1" si="14"/>
        <v>-20.516180292750366</v>
      </c>
      <c r="W50" s="43">
        <v>55</v>
      </c>
      <c r="X50" s="43">
        <v>20</v>
      </c>
      <c r="Y50" s="43">
        <v>3.1415926535897931</v>
      </c>
      <c r="Z50" s="23">
        <f t="shared" ca="1" si="15"/>
        <v>16.444849756041364</v>
      </c>
      <c r="AA50" s="23">
        <f t="shared" ca="1" si="16"/>
        <v>-0.51618029275037003</v>
      </c>
      <c r="AB50" s="23">
        <f t="shared" ca="1" si="17"/>
        <v>2.6275658263550596</v>
      </c>
      <c r="AC50" s="23">
        <f t="shared" ca="1" si="18"/>
        <v>-16.241780180188641</v>
      </c>
      <c r="AD50" s="23">
        <f t="shared" ca="1" si="19"/>
        <v>54.944764200567377</v>
      </c>
      <c r="AE50" s="23">
        <f t="shared" ca="1" si="20"/>
        <v>1.8942936458034025</v>
      </c>
      <c r="AF50" s="23">
        <f t="shared" ca="1" si="21"/>
        <v>3.9780166561871453</v>
      </c>
      <c r="AG50" s="23">
        <f t="shared" ca="1" si="22"/>
        <v>12.49730790293537</v>
      </c>
      <c r="AH50" s="23">
        <f t="shared" ca="1" si="23"/>
        <v>-202.97852780361058</v>
      </c>
      <c r="AI50" s="23">
        <f t="shared" ca="1" si="24"/>
        <v>32.837499167189996</v>
      </c>
    </row>
    <row r="51" spans="1:35" x14ac:dyDescent="0.2">
      <c r="A51" s="43">
        <v>35</v>
      </c>
      <c r="B51" s="43">
        <v>25</v>
      </c>
      <c r="C51" s="43">
        <f t="shared" ca="1" si="9"/>
        <v>-3.5551502439586358</v>
      </c>
      <c r="D51" s="43">
        <f t="shared" ca="1" si="10"/>
        <v>4.48381970724963</v>
      </c>
      <c r="E51" s="43">
        <f t="shared" ca="1" si="11"/>
        <v>3.7240378031602801</v>
      </c>
      <c r="F51" s="43">
        <f t="shared" ca="1" si="12"/>
        <v>4.3445684325226663</v>
      </c>
      <c r="H51" s="23" t="e">
        <f ca="1"/>
        <v>#N/A</v>
      </c>
      <c r="I51" s="23" t="e">
        <f ca="1"/>
        <v>#N/A</v>
      </c>
      <c r="J51" s="23" t="e">
        <f t="shared" ca="1" si="13"/>
        <v>#N/A</v>
      </c>
      <c r="K51" s="23" t="e">
        <f t="shared" ca="1" si="14"/>
        <v>#N/A</v>
      </c>
      <c r="W51" s="43">
        <v>55</v>
      </c>
      <c r="X51" s="43">
        <v>50</v>
      </c>
      <c r="Y51" s="43">
        <v>3.1415926535897931</v>
      </c>
      <c r="Z51" s="23">
        <f t="shared" ca="1" si="15"/>
        <v>16.444849756041364</v>
      </c>
      <c r="AA51" s="23">
        <f t="shared" ca="1" si="16"/>
        <v>29.48381970724963</v>
      </c>
      <c r="AB51" s="23">
        <f t="shared" ca="1" si="17"/>
        <v>32.077636330231691</v>
      </c>
      <c r="AC51" s="23">
        <f t="shared" ca="1" si="18"/>
        <v>-10.523970519427316</v>
      </c>
      <c r="AD51" s="23">
        <f t="shared" ca="1" si="19"/>
        <v>49.226954539806052</v>
      </c>
      <c r="AE51" s="23">
        <f t="shared" ca="1" si="20"/>
        <v>1.3849705119662299</v>
      </c>
      <c r="AF51" s="23">
        <f t="shared" ca="1" si="21"/>
        <v>2.9084380751290828</v>
      </c>
      <c r="AG51" s="23">
        <f t="shared" ca="1" si="22"/>
        <v>9.1371276902463645</v>
      </c>
      <c r="AH51" s="23">
        <f t="shared" ca="1" si="23"/>
        <v>-96.158862444395737</v>
      </c>
      <c r="AI51" s="23">
        <f t="shared" ca="1" si="24"/>
        <v>293.09745915061274</v>
      </c>
    </row>
    <row r="52" spans="1:35" x14ac:dyDescent="0.2">
      <c r="A52" s="43">
        <v>0</v>
      </c>
      <c r="B52" s="43">
        <v>25</v>
      </c>
      <c r="C52" s="43">
        <f t="shared" ca="1" si="9"/>
        <v>-38.555150243958636</v>
      </c>
      <c r="D52" s="43">
        <f t="shared" ca="1" si="10"/>
        <v>4.48381970724963</v>
      </c>
      <c r="E52" s="43">
        <f t="shared" ca="1" si="11"/>
        <v>-2.9467401343946014</v>
      </c>
      <c r="F52" s="43">
        <f t="shared" ca="1" si="12"/>
        <v>38.702984020378736</v>
      </c>
      <c r="H52" s="23" t="e">
        <f ca="1"/>
        <v>#N/A</v>
      </c>
      <c r="I52" s="23" t="e">
        <f ca="1"/>
        <v>#N/A</v>
      </c>
      <c r="J52" s="23" t="e">
        <f t="shared" ca="1" si="13"/>
        <v>#N/A</v>
      </c>
      <c r="K52" s="23" t="e">
        <f t="shared" ca="1" si="14"/>
        <v>#N/A</v>
      </c>
      <c r="W52" s="43">
        <v>40</v>
      </c>
      <c r="X52" s="43">
        <v>50</v>
      </c>
      <c r="Y52" s="43">
        <v>3.1415926535897931</v>
      </c>
      <c r="Z52" s="23">
        <f t="shared" ca="1" si="15"/>
        <v>1.4448497560413642</v>
      </c>
      <c r="AA52" s="23">
        <f t="shared" ca="1" si="16"/>
        <v>29.48381970724963</v>
      </c>
      <c r="AB52" s="23">
        <f t="shared" ca="1" si="17"/>
        <v>29.218731499851025</v>
      </c>
      <c r="AC52" s="23">
        <f t="shared" ca="1" si="18"/>
        <v>4.201064732511</v>
      </c>
      <c r="AD52" s="23">
        <f t="shared" ca="1" si="19"/>
        <v>34.501919287867736</v>
      </c>
      <c r="AE52" s="23">
        <f t="shared" ca="1" si="20"/>
        <v>7.3314205557900691E-2</v>
      </c>
      <c r="AF52" s="23">
        <f t="shared" ca="1" si="21"/>
        <v>0.15395983167159144</v>
      </c>
      <c r="AG52" s="23">
        <f t="shared" ca="1" si="22"/>
        <v>0.4836790761273928</v>
      </c>
      <c r="AH52" s="23">
        <f t="shared" ca="1" si="23"/>
        <v>2.0319671085722932</v>
      </c>
      <c r="AI52" s="23">
        <f t="shared" ca="1" si="24"/>
        <v>14.132489057462294</v>
      </c>
    </row>
    <row r="53" spans="1:35" x14ac:dyDescent="0.2">
      <c r="A53" s="44">
        <v>0</v>
      </c>
      <c r="B53" s="44">
        <v>0</v>
      </c>
      <c r="C53" s="44">
        <f t="shared" ca="1" si="9"/>
        <v>-38.555150243958636</v>
      </c>
      <c r="D53" s="44">
        <f t="shared" ca="1" si="10"/>
        <v>-20.51618029275037</v>
      </c>
      <c r="E53" s="44">
        <f t="shared" ca="1" si="11"/>
        <v>-27.488465554291793</v>
      </c>
      <c r="F53" s="44">
        <f t="shared" ca="1" si="12"/>
        <v>33.938142636410966</v>
      </c>
      <c r="H53" s="23" t="e">
        <f ca="1"/>
        <v>#N/A</v>
      </c>
      <c r="I53" s="23" t="e">
        <f ca="1"/>
        <v>#N/A</v>
      </c>
      <c r="J53" s="23" t="e">
        <f t="shared" ca="1" si="13"/>
        <v>#N/A</v>
      </c>
      <c r="K53" s="23" t="e">
        <f t="shared" ca="1" si="14"/>
        <v>#N/A</v>
      </c>
      <c r="W53" s="43">
        <v>40</v>
      </c>
      <c r="X53" s="43">
        <v>20</v>
      </c>
      <c r="Y53" s="43">
        <v>3.1415926535897931</v>
      </c>
      <c r="Z53" s="23">
        <f t="shared" ca="1" si="15"/>
        <v>1.4448497560413642</v>
      </c>
      <c r="AA53" s="23">
        <f t="shared" ca="1" si="16"/>
        <v>-0.51618029275037003</v>
      </c>
      <c r="AB53" s="23">
        <f t="shared" ca="1" si="17"/>
        <v>-0.23133900402560392</v>
      </c>
      <c r="AC53" s="23">
        <f t="shared" ca="1" si="18"/>
        <v>-1.5167449282503267</v>
      </c>
      <c r="AD53" s="23">
        <f t="shared" ca="1" si="19"/>
        <v>40.219728948629061</v>
      </c>
      <c r="AE53" s="23">
        <f t="shared" ca="1" si="20"/>
        <v>0.58263733939507323</v>
      </c>
      <c r="AF53" s="23">
        <f t="shared" ca="1" si="21"/>
        <v>1.2235384127296538</v>
      </c>
      <c r="AG53" s="23">
        <f t="shared" ca="1" si="22"/>
        <v>3.8438592888163967</v>
      </c>
      <c r="AH53" s="23">
        <f t="shared" ca="1" si="23"/>
        <v>-5.8301540812201775</v>
      </c>
      <c r="AI53" s="23">
        <f t="shared" ca="1" si="24"/>
        <v>-0.88923457948935147</v>
      </c>
    </row>
    <row r="54" spans="1:35" x14ac:dyDescent="0.2">
      <c r="H54" s="23" t="e">
        <f ca="1"/>
        <v>#N/A</v>
      </c>
      <c r="I54" s="23" t="e">
        <f ca="1"/>
        <v>#N/A</v>
      </c>
      <c r="J54" s="23" t="e">
        <f t="shared" ca="1" si="13"/>
        <v>#N/A</v>
      </c>
      <c r="K54" s="23" t="e">
        <f t="shared" ca="1" si="14"/>
        <v>#N/A</v>
      </c>
      <c r="W54" s="43">
        <v>5</v>
      </c>
      <c r="X54" s="43">
        <v>20</v>
      </c>
      <c r="Y54" s="43">
        <v>3.1415926535897931</v>
      </c>
      <c r="Z54" s="23">
        <f t="shared" ca="1" si="15"/>
        <v>-33.555150243958636</v>
      </c>
      <c r="AA54" s="23">
        <f t="shared" ca="1" si="16"/>
        <v>-0.51618029275037003</v>
      </c>
      <c r="AB54" s="23">
        <f t="shared" ca="1" si="17"/>
        <v>-6.9021169415804851</v>
      </c>
      <c r="AC54" s="23">
        <f t="shared" ca="1" si="18"/>
        <v>32.84167065960574</v>
      </c>
      <c r="AD54" s="23">
        <f t="shared" ca="1" si="19"/>
        <v>5.8613133607729964</v>
      </c>
      <c r="AE54" s="23">
        <f t="shared" ca="1" si="20"/>
        <v>-2.4778940422243614</v>
      </c>
      <c r="AF54" s="23">
        <f t="shared" ca="1" si="21"/>
        <v>-4.0214998148381706</v>
      </c>
      <c r="AG54" s="23">
        <f t="shared" ca="1" si="22"/>
        <v>-12.63391427470831</v>
      </c>
      <c r="AH54" s="23">
        <f t="shared" ca="1" si="23"/>
        <v>-414.91885175166203</v>
      </c>
      <c r="AI54" s="23">
        <f t="shared" ca="1" si="24"/>
        <v>87.20075375393975</v>
      </c>
    </row>
    <row r="55" spans="1:35" x14ac:dyDescent="0.2">
      <c r="H55" s="27" t="e">
        <f ca="1"/>
        <v>#N/A</v>
      </c>
      <c r="I55" s="27" t="e">
        <f ca="1"/>
        <v>#N/A</v>
      </c>
      <c r="J55" s="27" t="e">
        <f t="shared" ca="1" si="13"/>
        <v>#N/A</v>
      </c>
      <c r="K55" s="27" t="e">
        <f t="shared" ca="1" si="14"/>
        <v>#N/A</v>
      </c>
      <c r="W55" s="43">
        <v>16.666666666666664</v>
      </c>
      <c r="X55" s="43">
        <v>5</v>
      </c>
      <c r="Y55" s="43">
        <v>3.1415926535897931</v>
      </c>
      <c r="Z55" s="23">
        <f t="shared" ca="1" si="15"/>
        <v>-21.888483577291971</v>
      </c>
      <c r="AA55" s="23">
        <f t="shared" ca="1" si="16"/>
        <v>-15.51618029275037</v>
      </c>
      <c r="AB55" s="23">
        <f t="shared" ca="1" si="17"/>
        <v>-19.403559547667175</v>
      </c>
      <c r="AC55" s="23">
        <f t="shared" ca="1" si="18"/>
        <v>18.52996063327306</v>
      </c>
      <c r="AD55" s="23">
        <f t="shared" ca="1" si="19"/>
        <v>20.173023387105676</v>
      </c>
      <c r="AE55" s="23">
        <f t="shared" ca="1" si="20"/>
        <v>-1.2030553480992974</v>
      </c>
      <c r="AF55" s="23">
        <f t="shared" ca="1" si="21"/>
        <v>-2.3479162365815589</v>
      </c>
      <c r="AG55" s="23">
        <f t="shared" ca="1" si="22"/>
        <v>-7.37619640008882</v>
      </c>
      <c r="AH55" s="23">
        <f t="shared" ca="1" si="23"/>
        <v>-136.68062891693629</v>
      </c>
      <c r="AI55" s="23">
        <f t="shared" ca="1" si="24"/>
        <v>143.12446608441167</v>
      </c>
    </row>
    <row r="56" spans="1:35" x14ac:dyDescent="0.2">
      <c r="W56" s="43">
        <v>28.333333333333332</v>
      </c>
      <c r="X56" s="43">
        <v>5</v>
      </c>
      <c r="Y56" s="43">
        <v>3.1415926535897931</v>
      </c>
      <c r="Z56" s="23">
        <f t="shared" ca="1" si="15"/>
        <v>-10.221816910625304</v>
      </c>
      <c r="AA56" s="23">
        <f t="shared" ca="1" si="16"/>
        <v>-15.51618029275037</v>
      </c>
      <c r="AB56" s="23">
        <f t="shared" ca="1" si="17"/>
        <v>-17.179966901815547</v>
      </c>
      <c r="AC56" s="23">
        <f t="shared" ca="1" si="18"/>
        <v>7.0771554373210339</v>
      </c>
      <c r="AD56" s="23">
        <f t="shared" ca="1" si="19"/>
        <v>31.625828583057704</v>
      </c>
      <c r="AE56" s="23">
        <f t="shared" ca="1" si="20"/>
        <v>-0.18287822089281858</v>
      </c>
      <c r="AF56" s="23">
        <f t="shared" ca="1" si="21"/>
        <v>-0.38404426387491902</v>
      </c>
      <c r="AG56" s="23">
        <f t="shared" ca="1" si="22"/>
        <v>-1.2065106380427455</v>
      </c>
      <c r="AH56" s="23">
        <f t="shared" ca="1" si="23"/>
        <v>-8.5386633222098869</v>
      </c>
      <c r="AI56" s="23">
        <f t="shared" ca="1" si="24"/>
        <v>20.727812828262724</v>
      </c>
    </row>
    <row r="57" spans="1:35" x14ac:dyDescent="0.2">
      <c r="W57" s="43">
        <v>55</v>
      </c>
      <c r="X57" s="43">
        <v>35</v>
      </c>
      <c r="Y57" s="43">
        <v>3.1415926535897931</v>
      </c>
      <c r="Z57" s="23">
        <f t="shared" ca="1" si="15"/>
        <v>16.444849756041364</v>
      </c>
      <c r="AA57" s="23">
        <f t="shared" ca="1" si="16"/>
        <v>14.48381970724963</v>
      </c>
      <c r="AB57" s="23">
        <f t="shared" ca="1" si="17"/>
        <v>17.352601078293375</v>
      </c>
      <c r="AC57" s="23">
        <f t="shared" ca="1" si="18"/>
        <v>-13.382875349807978</v>
      </c>
      <c r="AD57" s="23">
        <f t="shared" ca="1" si="19"/>
        <v>52.085859370186711</v>
      </c>
      <c r="AE57" s="23">
        <f t="shared" ca="1" si="20"/>
        <v>1.639632078884816</v>
      </c>
      <c r="AF57" s="23">
        <f t="shared" ca="1" si="21"/>
        <v>3.4432273656581138</v>
      </c>
      <c r="AG57" s="23">
        <f t="shared" ca="1" si="22"/>
        <v>10.817217796590867</v>
      </c>
      <c r="AH57" s="23">
        <f t="shared" ca="1" si="23"/>
        <v>-144.76547740350009</v>
      </c>
      <c r="AI57" s="23">
        <f t="shared" ca="1" si="24"/>
        <v>187.70686520125696</v>
      </c>
    </row>
    <row r="58" spans="1:35" x14ac:dyDescent="0.2">
      <c r="W58" s="43">
        <v>40</v>
      </c>
      <c r="X58" s="43">
        <v>35</v>
      </c>
      <c r="Y58" s="43">
        <v>3.1415926535897931</v>
      </c>
      <c r="Z58" s="23">
        <f t="shared" ca="1" si="15"/>
        <v>1.4448497560413642</v>
      </c>
      <c r="AA58" s="23">
        <f t="shared" ca="1" si="16"/>
        <v>14.48381970724963</v>
      </c>
      <c r="AB58" s="23">
        <f t="shared" ca="1" si="17"/>
        <v>14.493696247912712</v>
      </c>
      <c r="AC58" s="23">
        <f t="shared" ca="1" si="18"/>
        <v>1.3421599021303365</v>
      </c>
      <c r="AD58" s="23">
        <f t="shared" ca="1" si="19"/>
        <v>37.360824118248402</v>
      </c>
      <c r="AE58" s="23">
        <f t="shared" ca="1" si="20"/>
        <v>0.32797577247648729</v>
      </c>
      <c r="AF58" s="23">
        <f t="shared" ca="1" si="21"/>
        <v>0.68874912220062334</v>
      </c>
      <c r="AG58" s="23">
        <f t="shared" ca="1" si="22"/>
        <v>2.163769182471897</v>
      </c>
      <c r="AH58" s="23">
        <f t="shared" ca="1" si="23"/>
        <v>2.9041242341791196</v>
      </c>
      <c r="AI58" s="23">
        <f t="shared" ca="1" si="24"/>
        <v>31.361013281342089</v>
      </c>
    </row>
    <row r="59" spans="1:35" x14ac:dyDescent="0.2">
      <c r="W59" s="43">
        <v>16.666666666666664</v>
      </c>
      <c r="X59" s="43">
        <v>20</v>
      </c>
      <c r="Y59" s="43">
        <v>3.1415926535897931</v>
      </c>
      <c r="Z59" s="23">
        <f t="shared" ca="1" si="15"/>
        <v>-21.888483577291971</v>
      </c>
      <c r="AA59" s="23">
        <f t="shared" ca="1" si="16"/>
        <v>-0.51618029275037003</v>
      </c>
      <c r="AB59" s="23">
        <f t="shared" ca="1" si="17"/>
        <v>-4.6785242957288586</v>
      </c>
      <c r="AC59" s="23">
        <f t="shared" ca="1" si="18"/>
        <v>21.388865463653723</v>
      </c>
      <c r="AD59" s="23">
        <f t="shared" ca="1" si="19"/>
        <v>17.314118556725013</v>
      </c>
      <c r="AE59" s="23">
        <f t="shared" ca="1" si="20"/>
        <v>-1.4577169150178835</v>
      </c>
      <c r="AF59" s="23">
        <f t="shared" ca="1" si="21"/>
        <v>-2.8827055271105899</v>
      </c>
      <c r="AG59" s="23">
        <f t="shared" ca="1" si="22"/>
        <v>-9.056286506433322</v>
      </c>
      <c r="AH59" s="23">
        <f t="shared" ca="1" si="23"/>
        <v>-193.7036936864049</v>
      </c>
      <c r="AI59" s="23">
        <f t="shared" ca="1" si="24"/>
        <v>42.370056449429725</v>
      </c>
    </row>
    <row r="60" spans="1:35" x14ac:dyDescent="0.2">
      <c r="W60" s="43">
        <v>28.333333333333332</v>
      </c>
      <c r="X60" s="43">
        <v>20</v>
      </c>
      <c r="Y60" s="43">
        <v>3.1415926535897931</v>
      </c>
      <c r="Z60" s="23">
        <f t="shared" ca="1" si="15"/>
        <v>-10.221816910625304</v>
      </c>
      <c r="AA60" s="23">
        <f t="shared" ca="1" si="16"/>
        <v>-0.51618029275037003</v>
      </c>
      <c r="AB60" s="23">
        <f t="shared" ca="1" si="17"/>
        <v>-2.4549316498772313</v>
      </c>
      <c r="AC60" s="23">
        <f t="shared" ca="1" si="18"/>
        <v>9.9360602677016985</v>
      </c>
      <c r="AD60" s="23">
        <f t="shared" ca="1" si="19"/>
        <v>28.766923752677037</v>
      </c>
      <c r="AE60" s="23">
        <f t="shared" ca="1" si="20"/>
        <v>-0.43753978781140518</v>
      </c>
      <c r="AF60" s="23">
        <f t="shared" ca="1" si="21"/>
        <v>-0.91883355440395087</v>
      </c>
      <c r="AG60" s="23">
        <f t="shared" ca="1" si="22"/>
        <v>-2.8866007443872497</v>
      </c>
      <c r="AH60" s="23">
        <f t="shared" ca="1" si="23"/>
        <v>-28.681438965024299</v>
      </c>
      <c r="AI60" s="23">
        <f t="shared" ca="1" si="24"/>
        <v>7.0864075279554353</v>
      </c>
    </row>
    <row r="61" spans="1:35" x14ac:dyDescent="0.2">
      <c r="W61" s="43" t="e">
        <v>#N/A</v>
      </c>
      <c r="X61" s="43" t="e">
        <v>#N/A</v>
      </c>
      <c r="Y61" s="43" t="e">
        <v>#N/A</v>
      </c>
      <c r="Z61" s="23" t="e">
        <f t="shared" ca="1" si="15"/>
        <v>#N/A</v>
      </c>
      <c r="AA61" s="23" t="e">
        <f t="shared" ca="1" si="16"/>
        <v>#N/A</v>
      </c>
      <c r="AB61" s="23" t="e">
        <f t="shared" ca="1" si="17"/>
        <v>#N/A</v>
      </c>
      <c r="AC61" s="23" t="e">
        <f t="shared" ca="1" si="18"/>
        <v>#N/A</v>
      </c>
      <c r="AD61" s="23" t="e">
        <f t="shared" ca="1" si="19"/>
        <v>#N/A</v>
      </c>
      <c r="AE61" s="23" t="e">
        <f t="shared" ca="1" si="20"/>
        <v>#N/A</v>
      </c>
      <c r="AF61" s="23" t="e">
        <f t="shared" ca="1" si="21"/>
        <v>#N/A</v>
      </c>
      <c r="AG61" s="23" t="e">
        <f t="shared" ca="1" si="22"/>
        <v>#N/A</v>
      </c>
      <c r="AH61" s="23" t="e">
        <f t="shared" ca="1" si="23"/>
        <v>#N/A</v>
      </c>
      <c r="AI61" s="23" t="e">
        <f t="shared" ca="1" si="24"/>
        <v>#N/A</v>
      </c>
    </row>
    <row r="62" spans="1:35" x14ac:dyDescent="0.2">
      <c r="W62" s="43" t="e">
        <v>#N/A</v>
      </c>
      <c r="X62" s="43" t="e">
        <v>#N/A</v>
      </c>
      <c r="Y62" s="43" t="e">
        <v>#N/A</v>
      </c>
      <c r="Z62" s="23" t="e">
        <f t="shared" ca="1" si="15"/>
        <v>#N/A</v>
      </c>
      <c r="AA62" s="23" t="e">
        <f t="shared" ca="1" si="16"/>
        <v>#N/A</v>
      </c>
      <c r="AB62" s="23" t="e">
        <f t="shared" ca="1" si="17"/>
        <v>#N/A</v>
      </c>
      <c r="AC62" s="23" t="e">
        <f t="shared" ca="1" si="18"/>
        <v>#N/A</v>
      </c>
      <c r="AD62" s="23" t="e">
        <f t="shared" ca="1" si="19"/>
        <v>#N/A</v>
      </c>
      <c r="AE62" s="23" t="e">
        <f t="shared" ca="1" si="20"/>
        <v>#N/A</v>
      </c>
      <c r="AF62" s="23" t="e">
        <f t="shared" ca="1" si="21"/>
        <v>#N/A</v>
      </c>
      <c r="AG62" s="23" t="e">
        <f t="shared" ca="1" si="22"/>
        <v>#N/A</v>
      </c>
      <c r="AH62" s="23" t="e">
        <f t="shared" ca="1" si="23"/>
        <v>#N/A</v>
      </c>
      <c r="AI62" s="23" t="e">
        <f t="shared" ca="1" si="24"/>
        <v>#N/A</v>
      </c>
    </row>
    <row r="63" spans="1:35" x14ac:dyDescent="0.2">
      <c r="W63" s="43" t="e">
        <v>#N/A</v>
      </c>
      <c r="X63" s="43" t="e">
        <v>#N/A</v>
      </c>
      <c r="Y63" s="43" t="e">
        <v>#N/A</v>
      </c>
      <c r="Z63" s="23" t="e">
        <f t="shared" ca="1" si="15"/>
        <v>#N/A</v>
      </c>
      <c r="AA63" s="23" t="e">
        <f t="shared" ca="1" si="16"/>
        <v>#N/A</v>
      </c>
      <c r="AB63" s="23" t="e">
        <f t="shared" ca="1" si="17"/>
        <v>#N/A</v>
      </c>
      <c r="AC63" s="23" t="e">
        <f t="shared" ca="1" si="18"/>
        <v>#N/A</v>
      </c>
      <c r="AD63" s="23" t="e">
        <f t="shared" ca="1" si="19"/>
        <v>#N/A</v>
      </c>
      <c r="AE63" s="23" t="e">
        <f t="shared" ca="1" si="20"/>
        <v>#N/A</v>
      </c>
      <c r="AF63" s="23" t="e">
        <f t="shared" ca="1" si="21"/>
        <v>#N/A</v>
      </c>
      <c r="AG63" s="23" t="e">
        <f t="shared" ca="1" si="22"/>
        <v>#N/A</v>
      </c>
      <c r="AH63" s="23" t="e">
        <f t="shared" ca="1" si="23"/>
        <v>#N/A</v>
      </c>
      <c r="AI63" s="23" t="e">
        <f t="shared" ca="1" si="24"/>
        <v>#N/A</v>
      </c>
    </row>
    <row r="64" spans="1:35" x14ac:dyDescent="0.2">
      <c r="W64" s="43" t="e">
        <v>#N/A</v>
      </c>
      <c r="X64" s="43" t="e">
        <v>#N/A</v>
      </c>
      <c r="Y64" s="43" t="e">
        <v>#N/A</v>
      </c>
      <c r="Z64" s="23" t="e">
        <f t="shared" ca="1" si="15"/>
        <v>#N/A</v>
      </c>
      <c r="AA64" s="23" t="e">
        <f t="shared" ca="1" si="16"/>
        <v>#N/A</v>
      </c>
      <c r="AB64" s="23" t="e">
        <f t="shared" ca="1" si="17"/>
        <v>#N/A</v>
      </c>
      <c r="AC64" s="23" t="e">
        <f t="shared" ca="1" si="18"/>
        <v>#N/A</v>
      </c>
      <c r="AD64" s="23" t="e">
        <f t="shared" ca="1" si="19"/>
        <v>#N/A</v>
      </c>
      <c r="AE64" s="23" t="e">
        <f t="shared" ca="1" si="20"/>
        <v>#N/A</v>
      </c>
      <c r="AF64" s="23" t="e">
        <f t="shared" ca="1" si="21"/>
        <v>#N/A</v>
      </c>
      <c r="AG64" s="23" t="e">
        <f t="shared" ca="1" si="22"/>
        <v>#N/A</v>
      </c>
      <c r="AH64" s="23" t="e">
        <f t="shared" ca="1" si="23"/>
        <v>#N/A</v>
      </c>
      <c r="AI64" s="23" t="e">
        <f t="shared" ca="1" si="24"/>
        <v>#N/A</v>
      </c>
    </row>
    <row r="65" spans="23:35" x14ac:dyDescent="0.2">
      <c r="W65" s="43" t="e">
        <v>#N/A</v>
      </c>
      <c r="X65" s="43" t="e">
        <v>#N/A</v>
      </c>
      <c r="Y65" s="43" t="e">
        <v>#N/A</v>
      </c>
      <c r="Z65" s="23" t="e">
        <f t="shared" ca="1" si="15"/>
        <v>#N/A</v>
      </c>
      <c r="AA65" s="23" t="e">
        <f t="shared" ca="1" si="16"/>
        <v>#N/A</v>
      </c>
      <c r="AB65" s="23" t="e">
        <f t="shared" ca="1" si="17"/>
        <v>#N/A</v>
      </c>
      <c r="AC65" s="23" t="e">
        <f t="shared" ca="1" si="18"/>
        <v>#N/A</v>
      </c>
      <c r="AD65" s="23" t="e">
        <f t="shared" ca="1" si="19"/>
        <v>#N/A</v>
      </c>
      <c r="AE65" s="23" t="e">
        <f t="shared" ca="1" si="20"/>
        <v>#N/A</v>
      </c>
      <c r="AF65" s="23" t="e">
        <f t="shared" ca="1" si="21"/>
        <v>#N/A</v>
      </c>
      <c r="AG65" s="23" t="e">
        <f t="shared" ca="1" si="22"/>
        <v>#N/A</v>
      </c>
      <c r="AH65" s="23" t="e">
        <f t="shared" ca="1" si="23"/>
        <v>#N/A</v>
      </c>
      <c r="AI65" s="23" t="e">
        <f t="shared" ca="1" si="24"/>
        <v>#N/A</v>
      </c>
    </row>
    <row r="66" spans="23:35" x14ac:dyDescent="0.2">
      <c r="W66" s="43" t="e">
        <v>#N/A</v>
      </c>
      <c r="X66" s="43" t="e">
        <v>#N/A</v>
      </c>
      <c r="Y66" s="43" t="e">
        <v>#N/A</v>
      </c>
      <c r="Z66" s="23" t="e">
        <f t="shared" ca="1" si="15"/>
        <v>#N/A</v>
      </c>
      <c r="AA66" s="23" t="e">
        <f t="shared" ca="1" si="16"/>
        <v>#N/A</v>
      </c>
      <c r="AB66" s="23" t="e">
        <f t="shared" ca="1" si="17"/>
        <v>#N/A</v>
      </c>
      <c r="AC66" s="23" t="e">
        <f t="shared" ca="1" si="18"/>
        <v>#N/A</v>
      </c>
      <c r="AD66" s="23" t="e">
        <f t="shared" ca="1" si="19"/>
        <v>#N/A</v>
      </c>
      <c r="AE66" s="23" t="e">
        <f t="shared" ca="1" si="20"/>
        <v>#N/A</v>
      </c>
      <c r="AF66" s="23" t="e">
        <f t="shared" ca="1" si="21"/>
        <v>#N/A</v>
      </c>
      <c r="AG66" s="23" t="e">
        <f t="shared" ca="1" si="22"/>
        <v>#N/A</v>
      </c>
      <c r="AH66" s="23" t="e">
        <f t="shared" ca="1" si="23"/>
        <v>#N/A</v>
      </c>
      <c r="AI66" s="23" t="e">
        <f t="shared" ca="1" si="24"/>
        <v>#N/A</v>
      </c>
    </row>
    <row r="67" spans="23:35" x14ac:dyDescent="0.2">
      <c r="W67" s="43" t="e">
        <v>#N/A</v>
      </c>
      <c r="X67" s="43" t="e">
        <v>#N/A</v>
      </c>
      <c r="Y67" s="43" t="e">
        <v>#N/A</v>
      </c>
      <c r="Z67" s="23" t="e">
        <f t="shared" ca="1" si="15"/>
        <v>#N/A</v>
      </c>
      <c r="AA67" s="23" t="e">
        <f t="shared" ca="1" si="16"/>
        <v>#N/A</v>
      </c>
      <c r="AB67" s="23" t="e">
        <f t="shared" ca="1" si="17"/>
        <v>#N/A</v>
      </c>
      <c r="AC67" s="23" t="e">
        <f t="shared" ca="1" si="18"/>
        <v>#N/A</v>
      </c>
      <c r="AD67" s="23" t="e">
        <f t="shared" ca="1" si="19"/>
        <v>#N/A</v>
      </c>
      <c r="AE67" s="23" t="e">
        <f t="shared" ca="1" si="20"/>
        <v>#N/A</v>
      </c>
      <c r="AF67" s="23" t="e">
        <f t="shared" ca="1" si="21"/>
        <v>#N/A</v>
      </c>
      <c r="AG67" s="23" t="e">
        <f t="shared" ca="1" si="22"/>
        <v>#N/A</v>
      </c>
      <c r="AH67" s="23" t="e">
        <f t="shared" ca="1" si="23"/>
        <v>#N/A</v>
      </c>
      <c r="AI67" s="23" t="e">
        <f t="shared" ca="1" si="24"/>
        <v>#N/A</v>
      </c>
    </row>
    <row r="68" spans="23:35" x14ac:dyDescent="0.2">
      <c r="W68" s="43" t="e">
        <v>#N/A</v>
      </c>
      <c r="X68" s="43" t="e">
        <v>#N/A</v>
      </c>
      <c r="Y68" s="43" t="e">
        <v>#N/A</v>
      </c>
      <c r="Z68" s="23" t="e">
        <f t="shared" ca="1" si="15"/>
        <v>#N/A</v>
      </c>
      <c r="AA68" s="23" t="e">
        <f t="shared" ca="1" si="16"/>
        <v>#N/A</v>
      </c>
      <c r="AB68" s="23" t="e">
        <f t="shared" ca="1" si="17"/>
        <v>#N/A</v>
      </c>
      <c r="AC68" s="23" t="e">
        <f t="shared" ca="1" si="18"/>
        <v>#N/A</v>
      </c>
      <c r="AD68" s="23" t="e">
        <f t="shared" ca="1" si="19"/>
        <v>#N/A</v>
      </c>
      <c r="AE68" s="23" t="e">
        <f t="shared" ca="1" si="20"/>
        <v>#N/A</v>
      </c>
      <c r="AF68" s="23" t="e">
        <f t="shared" ca="1" si="21"/>
        <v>#N/A</v>
      </c>
      <c r="AG68" s="23" t="e">
        <f t="shared" ca="1" si="22"/>
        <v>#N/A</v>
      </c>
      <c r="AH68" s="23" t="e">
        <f t="shared" ca="1" si="23"/>
        <v>#N/A</v>
      </c>
      <c r="AI68" s="23" t="e">
        <f t="shared" ca="1" si="24"/>
        <v>#N/A</v>
      </c>
    </row>
    <row r="69" spans="23:35" x14ac:dyDescent="0.2">
      <c r="W69" s="43" t="e">
        <v>#N/A</v>
      </c>
      <c r="X69" s="43" t="e">
        <v>#N/A</v>
      </c>
      <c r="Y69" s="43" t="e">
        <v>#N/A</v>
      </c>
      <c r="Z69" s="23" t="e">
        <f t="shared" ca="1" si="15"/>
        <v>#N/A</v>
      </c>
      <c r="AA69" s="23" t="e">
        <f t="shared" ca="1" si="16"/>
        <v>#N/A</v>
      </c>
      <c r="AB69" s="23" t="e">
        <f t="shared" ca="1" si="17"/>
        <v>#N/A</v>
      </c>
      <c r="AC69" s="23" t="e">
        <f t="shared" ca="1" si="18"/>
        <v>#N/A</v>
      </c>
      <c r="AD69" s="23" t="e">
        <f t="shared" ca="1" si="19"/>
        <v>#N/A</v>
      </c>
      <c r="AE69" s="23" t="e">
        <f t="shared" ca="1" si="20"/>
        <v>#N/A</v>
      </c>
      <c r="AF69" s="23" t="e">
        <f t="shared" ca="1" si="21"/>
        <v>#N/A</v>
      </c>
      <c r="AG69" s="23" t="e">
        <f t="shared" ca="1" si="22"/>
        <v>#N/A</v>
      </c>
      <c r="AH69" s="23" t="e">
        <f t="shared" ca="1" si="23"/>
        <v>#N/A</v>
      </c>
      <c r="AI69" s="23" t="e">
        <f t="shared" ca="1" si="24"/>
        <v>#N/A</v>
      </c>
    </row>
    <row r="70" spans="23:35" x14ac:dyDescent="0.2">
      <c r="W70" s="43" t="e">
        <v>#N/A</v>
      </c>
      <c r="X70" s="43" t="e">
        <v>#N/A</v>
      </c>
      <c r="Y70" s="43" t="e">
        <v>#N/A</v>
      </c>
      <c r="Z70" s="23" t="e">
        <f t="shared" ca="1" si="15"/>
        <v>#N/A</v>
      </c>
      <c r="AA70" s="23" t="e">
        <f t="shared" ca="1" si="16"/>
        <v>#N/A</v>
      </c>
      <c r="AB70" s="23" t="e">
        <f t="shared" ca="1" si="17"/>
        <v>#N/A</v>
      </c>
      <c r="AC70" s="23" t="e">
        <f t="shared" ca="1" si="18"/>
        <v>#N/A</v>
      </c>
      <c r="AD70" s="23" t="e">
        <f t="shared" ca="1" si="19"/>
        <v>#N/A</v>
      </c>
      <c r="AE70" s="23" t="e">
        <f t="shared" ca="1" si="20"/>
        <v>#N/A</v>
      </c>
      <c r="AF70" s="23" t="e">
        <f t="shared" ca="1" si="21"/>
        <v>#N/A</v>
      </c>
      <c r="AG70" s="23" t="e">
        <f t="shared" ca="1" si="22"/>
        <v>#N/A</v>
      </c>
      <c r="AH70" s="23" t="e">
        <f t="shared" ca="1" si="23"/>
        <v>#N/A</v>
      </c>
      <c r="AI70" s="23" t="e">
        <f t="shared" ca="1" si="24"/>
        <v>#N/A</v>
      </c>
    </row>
    <row r="71" spans="23:35" x14ac:dyDescent="0.2">
      <c r="W71" s="43" t="e">
        <v>#N/A</v>
      </c>
      <c r="X71" s="43" t="e">
        <v>#N/A</v>
      </c>
      <c r="Y71" s="43" t="e">
        <v>#N/A</v>
      </c>
      <c r="Z71" s="23" t="e">
        <f t="shared" ca="1" si="15"/>
        <v>#N/A</v>
      </c>
      <c r="AA71" s="23" t="e">
        <f t="shared" ca="1" si="16"/>
        <v>#N/A</v>
      </c>
      <c r="AB71" s="23" t="e">
        <f t="shared" ca="1" si="17"/>
        <v>#N/A</v>
      </c>
      <c r="AC71" s="23" t="e">
        <f t="shared" ca="1" si="18"/>
        <v>#N/A</v>
      </c>
      <c r="AD71" s="23" t="e">
        <f t="shared" ca="1" si="19"/>
        <v>#N/A</v>
      </c>
      <c r="AE71" s="23" t="e">
        <f t="shared" ca="1" si="20"/>
        <v>#N/A</v>
      </c>
      <c r="AF71" s="23" t="e">
        <f t="shared" ca="1" si="21"/>
        <v>#N/A</v>
      </c>
      <c r="AG71" s="23" t="e">
        <f t="shared" ca="1" si="22"/>
        <v>#N/A</v>
      </c>
      <c r="AH71" s="23" t="e">
        <f t="shared" ca="1" si="23"/>
        <v>#N/A</v>
      </c>
      <c r="AI71" s="23" t="e">
        <f t="shared" ca="1" si="24"/>
        <v>#N/A</v>
      </c>
    </row>
    <row r="72" spans="23:35" x14ac:dyDescent="0.2">
      <c r="W72" s="44" t="e">
        <v>#N/A</v>
      </c>
      <c r="X72" s="44" t="e">
        <v>#N/A</v>
      </c>
      <c r="Y72" s="44" t="e">
        <v>#N/A</v>
      </c>
      <c r="Z72" s="27" t="e">
        <f t="shared" ca="1" si="15"/>
        <v>#N/A</v>
      </c>
      <c r="AA72" s="27" t="e">
        <f t="shared" ca="1" si="16"/>
        <v>#N/A</v>
      </c>
      <c r="AB72" s="27" t="e">
        <f t="shared" ca="1" si="17"/>
        <v>#N/A</v>
      </c>
      <c r="AC72" s="27" t="e">
        <f t="shared" ca="1" si="18"/>
        <v>#N/A</v>
      </c>
      <c r="AD72" s="27" t="e">
        <f t="shared" ca="1" si="19"/>
        <v>#N/A</v>
      </c>
      <c r="AE72" s="27" t="e">
        <f t="shared" ca="1" si="20"/>
        <v>#N/A</v>
      </c>
      <c r="AF72" s="27" t="e">
        <f t="shared" ca="1" si="21"/>
        <v>#N/A</v>
      </c>
      <c r="AG72" s="27" t="e">
        <f t="shared" ca="1" si="22"/>
        <v>#N/A</v>
      </c>
      <c r="AH72" s="27" t="e">
        <f t="shared" ca="1" si="23"/>
        <v>#N/A</v>
      </c>
      <c r="AI72" s="27" t="e">
        <f t="shared" ca="1" si="24"/>
        <v>#N/A</v>
      </c>
    </row>
  </sheetData>
  <conditionalFormatting sqref="H45:I55">
    <cfRule type="containsErrors" dxfId="12" priority="3">
      <formula>ISERROR(H45)</formula>
    </cfRule>
  </conditionalFormatting>
  <conditionalFormatting sqref="J45:K55">
    <cfRule type="containsErrors" dxfId="11" priority="2">
      <formula>ISERROR(J45)</formula>
    </cfRule>
  </conditionalFormatting>
  <conditionalFormatting sqref="W45:AI72">
    <cfRule type="containsErrors" dxfId="10" priority="1">
      <formula>ISERROR(W45)</formula>
    </cfRule>
  </conditionalFormatting>
  <printOptions horizontalCentered="1" verticalCentered="1"/>
  <pageMargins left="0.59055118110236227" right="0.59055118110236227" top="0.59055118110236227" bottom="0.59055118110236227" header="0.39370078740157483" footer="0.39370078740157483"/>
  <pageSetup orientation="landscape" r:id="rId1"/>
  <ignoredErrors>
    <ignoredError sqref="J45:K55 Z45:AI72" evalError="1"/>
  </ignoredErrors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Fill="0" autoLine="0" r:id="rId5">
            <anchor moveWithCells="1">
              <from>
                <xdr:col>8</xdr:col>
                <xdr:colOff>95250</xdr:colOff>
                <xdr:row>17</xdr:row>
                <xdr:rowOff>19050</xdr:rowOff>
              </from>
              <to>
                <xdr:col>10</xdr:col>
                <xdr:colOff>295275</xdr:colOff>
                <xdr:row>18</xdr:row>
                <xdr:rowOff>133350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13</xdr:col>
                <xdr:colOff>123825</xdr:colOff>
                <xdr:row>12</xdr:row>
                <xdr:rowOff>9525</xdr:rowOff>
              </from>
              <to>
                <xdr:col>15</xdr:col>
                <xdr:colOff>323850</xdr:colOff>
                <xdr:row>13</xdr:row>
                <xdr:rowOff>142875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59510-34D6-41C2-A4F1-420E7713D55D}">
  <sheetPr codeName="Sheet9"/>
  <dimension ref="A1:AS72"/>
  <sheetViews>
    <sheetView zoomScale="85" zoomScaleNormal="85" workbookViewId="0">
      <selection activeCell="B17" sqref="B17"/>
    </sheetView>
  </sheetViews>
  <sheetFormatPr defaultColWidth="5.7109375" defaultRowHeight="12.75" x14ac:dyDescent="0.2"/>
  <cols>
    <col min="1" max="19" width="6.5703125" style="2" customWidth="1"/>
    <col min="20" max="20" width="9.42578125" style="2" bestFit="1" customWidth="1"/>
    <col min="21" max="21" width="6.5703125" style="2" customWidth="1"/>
    <col min="22" max="22" width="5.7109375" style="2"/>
    <col min="23" max="23" width="6.7109375" style="2" bestFit="1" customWidth="1"/>
    <col min="24" max="24" width="6.28515625" style="2" customWidth="1"/>
    <col min="25" max="25" width="5.85546875" style="2" bestFit="1" customWidth="1"/>
    <col min="26" max="26" width="6.7109375" style="2" bestFit="1" customWidth="1"/>
    <col min="27" max="27" width="6.5703125" style="2" customWidth="1"/>
    <col min="28" max="39" width="5.85546875" style="2" bestFit="1" customWidth="1"/>
    <col min="40" max="40" width="5.7109375" style="2"/>
    <col min="41" max="44" width="5.85546875" style="2" bestFit="1" customWidth="1"/>
    <col min="45" max="16384" width="5.7109375" style="2"/>
  </cols>
  <sheetData>
    <row r="1" spans="1:44" x14ac:dyDescent="0.2">
      <c r="A1" s="58" t="s">
        <v>24</v>
      </c>
      <c r="B1" s="59"/>
      <c r="C1" s="59"/>
      <c r="D1" s="59"/>
      <c r="E1" s="59"/>
      <c r="F1" s="59"/>
      <c r="G1" s="59"/>
      <c r="H1" s="1"/>
      <c r="I1" s="60" t="s">
        <v>25</v>
      </c>
      <c r="J1" s="59"/>
      <c r="K1" s="59"/>
      <c r="L1" s="59"/>
      <c r="M1" s="59"/>
      <c r="N1" s="59"/>
      <c r="O1" s="59"/>
      <c r="P1" s="59"/>
      <c r="Q1" s="59"/>
      <c r="R1" s="59"/>
      <c r="S1" s="30"/>
      <c r="W1" s="3" t="s">
        <v>5</v>
      </c>
      <c r="X1" s="4">
        <v>0.85</v>
      </c>
      <c r="Z1" s="3" t="s">
        <v>26</v>
      </c>
      <c r="AA1" s="5">
        <f ca="1">MAX(OFFSET(AD45,0,0,COUNT($AD$45:$AD$72)))</f>
        <v>47.986978862989162</v>
      </c>
      <c r="AC1" s="6" t="s">
        <v>13</v>
      </c>
      <c r="AD1" s="7">
        <f>MIN(Q3:Q42)</f>
        <v>-220.53742980957031</v>
      </c>
      <c r="AI1" s="6" t="s">
        <v>13</v>
      </c>
      <c r="AJ1" s="7">
        <f>MAX(Q3:Q42)</f>
        <v>-112.76921844482422</v>
      </c>
    </row>
    <row r="2" spans="1:44" x14ac:dyDescent="0.2">
      <c r="A2" s="8" t="s">
        <v>126</v>
      </c>
      <c r="B2" s="9"/>
      <c r="C2" s="9"/>
      <c r="D2" s="9"/>
      <c r="E2" s="9"/>
      <c r="F2" s="9"/>
      <c r="G2" s="9"/>
      <c r="H2" s="9"/>
      <c r="I2" s="8" t="s">
        <v>123</v>
      </c>
      <c r="J2" s="9"/>
      <c r="K2" s="9"/>
      <c r="L2" s="9"/>
      <c r="M2" s="9"/>
      <c r="N2" s="9"/>
      <c r="O2" s="9"/>
      <c r="P2" s="10"/>
      <c r="Q2" s="6" t="s">
        <v>13</v>
      </c>
      <c r="R2" s="6" t="s">
        <v>19</v>
      </c>
      <c r="S2" s="6" t="s">
        <v>20</v>
      </c>
      <c r="T2" s="6" t="s">
        <v>22</v>
      </c>
      <c r="U2" s="6" t="s">
        <v>32</v>
      </c>
      <c r="W2" s="3" t="s">
        <v>33</v>
      </c>
      <c r="X2" s="4">
        <v>0.65</v>
      </c>
      <c r="Z2" s="3" t="s">
        <v>34</v>
      </c>
      <c r="AA2" s="5">
        <f ca="1">AA1/(1-X4/X5)</f>
        <v>17.995117073620932</v>
      </c>
      <c r="AC2" s="6" t="s">
        <v>18</v>
      </c>
      <c r="AD2" s="6" t="s">
        <v>35</v>
      </c>
      <c r="AE2" s="6" t="s">
        <v>13</v>
      </c>
      <c r="AF2" s="6" t="s">
        <v>19</v>
      </c>
      <c r="AG2" s="6" t="s">
        <v>20</v>
      </c>
      <c r="AI2" s="6" t="s">
        <v>18</v>
      </c>
      <c r="AJ2" s="6" t="s">
        <v>35</v>
      </c>
      <c r="AK2" s="6" t="s">
        <v>13</v>
      </c>
      <c r="AL2" s="6" t="s">
        <v>19</v>
      </c>
      <c r="AM2" s="6" t="s">
        <v>20</v>
      </c>
      <c r="AO2" s="6" t="s">
        <v>13</v>
      </c>
      <c r="AP2" s="6" t="s">
        <v>19</v>
      </c>
      <c r="AQ2" s="6" t="s">
        <v>20</v>
      </c>
      <c r="AR2" s="6" t="s">
        <v>32</v>
      </c>
    </row>
    <row r="3" spans="1:44" x14ac:dyDescent="0.2">
      <c r="A3" s="11" t="s">
        <v>3</v>
      </c>
      <c r="B3" s="12">
        <v>0.28000000000000003</v>
      </c>
      <c r="C3" s="13"/>
      <c r="D3" s="13"/>
      <c r="E3" s="13"/>
      <c r="F3" s="13"/>
      <c r="G3" s="13"/>
      <c r="H3" s="13"/>
      <c r="I3" s="6" t="s">
        <v>27</v>
      </c>
      <c r="J3" s="6" t="s">
        <v>29</v>
      </c>
      <c r="K3" s="6" t="s">
        <v>28</v>
      </c>
      <c r="L3" s="6" t="s">
        <v>30</v>
      </c>
      <c r="M3" s="6" t="s">
        <v>31</v>
      </c>
      <c r="N3" s="13"/>
      <c r="O3" s="13"/>
      <c r="P3" s="14"/>
      <c r="Q3" s="17">
        <v>-193.47468566894531</v>
      </c>
      <c r="R3" s="17">
        <v>1899.5633544921875</v>
      </c>
      <c r="S3" s="17">
        <v>746.16998291015625</v>
      </c>
      <c r="T3" s="18" t="s">
        <v>192</v>
      </c>
      <c r="U3" s="18">
        <f>IF(COUNT(Q3),S3*COS($X$6)+R3*SIN($X$6),"")</f>
        <v>2006.9577551076375</v>
      </c>
      <c r="W3" s="3" t="s">
        <v>36</v>
      </c>
      <c r="X3" s="4">
        <v>0.9</v>
      </c>
      <c r="Z3" s="3" t="s">
        <v>37</v>
      </c>
      <c r="AA3" s="5">
        <f ca="1">AA1/(1-X7/X5)</f>
        <v>28.792187840810072</v>
      </c>
      <c r="AC3" s="18">
        <v>0</v>
      </c>
      <c r="AD3" s="18">
        <f t="shared" ref="AD3:AD39" si="0">XCOMPRESST($B$4,$B$5,$B$6,$B$15,$B$16,$B$17,$B$18,$B$11,$B$12,$B$13,$B$7,$B$8,AC3,$AD$1,$B$3,$B$14)</f>
        <v>52.337112426757813</v>
      </c>
      <c r="AE3" s="18">
        <f t="array" ref="AE3:AG3">FLEXCOMPBIAXT($B$4,$B$5,$B$6,$B$15,$B$16,$B$17,$B$18,$B$11,$B$12,$B$13,$B$7,$B$8,AC3,AD3,$B$3,$B$14)</f>
        <v>-220.5374936544967</v>
      </c>
      <c r="AF3" s="18">
        <v>0</v>
      </c>
      <c r="AG3" s="18">
        <v>1637.911096699363</v>
      </c>
      <c r="AI3" s="18">
        <v>0</v>
      </c>
      <c r="AJ3" s="18">
        <f t="shared" ref="AJ3:AJ39" si="1">XCOMPRESST($B$4,$B$5,$B$6,$B$15,$B$16,$B$17,$B$18,$B$11,$B$12,$B$13,$B$7,$B$8,AI3,$AJ$1,$B$3,$B$14)</f>
        <v>37.608566284179688</v>
      </c>
      <c r="AK3" s="18">
        <f t="array" ref="AK3:AM3">FLEXCOMPBIAXT($B$4,$B$5,$B$6,$B$15,$B$16,$B$17,$B$18,$B$11,$B$12,$B$13,$B$7,$B$8,AI3,AJ3,$B$3,$B$14)</f>
        <v>-112.78753629423292</v>
      </c>
      <c r="AL3" s="18">
        <v>-1.7587353246430773E-14</v>
      </c>
      <c r="AM3" s="18">
        <v>2396.3184298845963</v>
      </c>
      <c r="AO3" s="18">
        <f t="array" ref="AO3:AQ16">DIAGRAFLEXCOMPT(B4,B5,B6,B15,B16,B17,B18,B11,B12,B13,B7,B8,B9,B3,B14)</f>
        <v>142.50263629535158</v>
      </c>
      <c r="AP3" s="18">
        <v>-1.0174716971733666E-13</v>
      </c>
      <c r="AQ3" s="18">
        <v>31.257829937365397</v>
      </c>
      <c r="AR3" s="18">
        <f>AQ3*COS($X$6)+AP3*SIN($X$6)</f>
        <v>5.957544066343317</v>
      </c>
    </row>
    <row r="4" spans="1:44" x14ac:dyDescent="0.2">
      <c r="A4" s="11" t="s">
        <v>0</v>
      </c>
      <c r="B4" s="12">
        <v>0.20999999344348907</v>
      </c>
      <c r="C4" s="13"/>
      <c r="D4" s="13"/>
      <c r="E4" s="13"/>
      <c r="F4" s="13"/>
      <c r="G4" s="13"/>
      <c r="H4" s="13"/>
      <c r="I4" s="19">
        <f t="array" ref="I4:K4">FLEXCOMPBIAXT($B$4,$B$5,$B$6,$B$15,$B$16,$B$17,$B$18,$B$11,$B$12,$B$13,$B$7,$B$8,$B$9,$B$10,$B$3,$B$14)</f>
        <v>-179.80414874085358</v>
      </c>
      <c r="J4" s="19">
        <v>1765.0526046437649</v>
      </c>
      <c r="K4" s="19">
        <v>693.09288735139148</v>
      </c>
      <c r="L4" s="7">
        <f>K4*COS($X$6)+J4*SIN($X$6)</f>
        <v>1864.7965618970902</v>
      </c>
      <c r="M4" s="7">
        <f>SQRT(I4^2+J4^2+K4^2)</f>
        <v>1904.7619220157806</v>
      </c>
      <c r="N4" s="13"/>
      <c r="O4" s="13"/>
      <c r="P4" s="14"/>
      <c r="Q4" s="22">
        <v>-195.07479858398438</v>
      </c>
      <c r="R4" s="22">
        <v>-1394.5313720703125</v>
      </c>
      <c r="S4" s="22">
        <v>1161.10400390625</v>
      </c>
      <c r="T4" s="23" t="s">
        <v>192</v>
      </c>
      <c r="U4" s="23">
        <f t="shared" ref="U4:U42" si="2">IF(COUNT(Q4),S4*COS($X$6)+R4*SIN($X$6),"")</f>
        <v>-1147.6691845551568</v>
      </c>
      <c r="W4" s="3" t="s">
        <v>7</v>
      </c>
      <c r="X4" s="4">
        <v>5</v>
      </c>
      <c r="Z4" s="3" t="s">
        <v>39</v>
      </c>
      <c r="AA4" s="5">
        <f ca="1">IF(B10&lt;AA2,X4/(B10-AA1),X5/B10)</f>
        <v>-8.9081372558112049E-2</v>
      </c>
      <c r="AC4" s="23">
        <v>10</v>
      </c>
      <c r="AD4" s="23">
        <f t="shared" si="0"/>
        <v>54.205496490910058</v>
      </c>
      <c r="AE4" s="23">
        <f t="array" ref="AE4:AG4">FLEXCOMPBIAXT($B$4,$B$5,$B$6,$B$15,$B$16,$B$17,$B$18,$B$11,$B$12,$B$13,$B$7,$B$8,AC4,AD4,$B$3,$B$14)</f>
        <v>-220.52569044386684</v>
      </c>
      <c r="AF4" s="23">
        <v>292.95721554214833</v>
      </c>
      <c r="AG4" s="23">
        <v>1600.3777173132548</v>
      </c>
      <c r="AI4" s="23">
        <v>10</v>
      </c>
      <c r="AJ4" s="23">
        <f t="shared" si="1"/>
        <v>39.173463405928494</v>
      </c>
      <c r="AK4" s="23">
        <f t="array" ref="AK4:AM4">FLEXCOMPBIAXT($B$4,$B$5,$B$6,$B$15,$B$16,$B$17,$B$18,$B$11,$B$12,$B$13,$B$7,$B$8,AI4,AJ4,$B$3,$B$14)</f>
        <v>-112.75754640902355</v>
      </c>
      <c r="AL4" s="23">
        <v>266.7735650107669</v>
      </c>
      <c r="AM4" s="23">
        <v>2362.2201891729883</v>
      </c>
      <c r="AO4" s="23">
        <v>120.49497060625274</v>
      </c>
      <c r="AP4" s="23">
        <v>349.17373711350632</v>
      </c>
      <c r="AQ4" s="23">
        <v>36.443878224768333</v>
      </c>
      <c r="AR4" s="23">
        <f t="shared" ref="AR4:AR30" si="3">AQ4*COS($X$6)+AP4*SIN($X$6)</f>
        <v>349.71901116946782</v>
      </c>
    </row>
    <row r="5" spans="1:44" x14ac:dyDescent="0.2">
      <c r="A5" s="11" t="s">
        <v>1</v>
      </c>
      <c r="B5" s="12">
        <v>4.1999998092651367</v>
      </c>
      <c r="C5" s="13"/>
      <c r="D5" s="13"/>
      <c r="E5" s="13"/>
      <c r="F5" s="13"/>
      <c r="G5" s="13"/>
      <c r="H5" s="13"/>
      <c r="I5" s="7">
        <f>I4/M4</f>
        <v>-9.4397177233871615E-2</v>
      </c>
      <c r="J5" s="7">
        <f>J4/M4</f>
        <v>0.9266526090440933</v>
      </c>
      <c r="K5" s="7">
        <f>K4/M4</f>
        <v>0.36387376256340837</v>
      </c>
      <c r="L5" s="13"/>
      <c r="M5" s="13"/>
      <c r="N5" s="13"/>
      <c r="O5" s="13"/>
      <c r="P5" s="14"/>
      <c r="Q5" s="22">
        <v>-218.93733215332031</v>
      </c>
      <c r="R5" s="22">
        <v>1772.7008056640625</v>
      </c>
      <c r="S5" s="22">
        <v>17.301162719726563</v>
      </c>
      <c r="T5" s="23" t="s">
        <v>23</v>
      </c>
      <c r="U5" s="23">
        <f t="shared" si="2"/>
        <v>1743.5029488142268</v>
      </c>
      <c r="W5" s="3" t="s">
        <v>8</v>
      </c>
      <c r="X5" s="4">
        <v>-3</v>
      </c>
      <c r="Z5" s="3" t="s">
        <v>40</v>
      </c>
      <c r="AA5" s="5">
        <f ca="1">MAX(OFFSET(AE45,0,0,COUNT($AE$45:$AE$72)))</f>
        <v>1.2747459420321856</v>
      </c>
      <c r="AC5" s="23">
        <v>20</v>
      </c>
      <c r="AD5" s="23">
        <f t="shared" si="0"/>
        <v>54.475605146350361</v>
      </c>
      <c r="AE5" s="23">
        <f t="array" ref="AE5:AG5">FLEXCOMPBIAXT($B$4,$B$5,$B$6,$B$15,$B$16,$B$17,$B$18,$B$11,$B$12,$B$13,$B$7,$B$8,AC5,AD5,$B$3,$B$14)</f>
        <v>-220.54651840048928</v>
      </c>
      <c r="AF5" s="23">
        <v>589.09514137776637</v>
      </c>
      <c r="AG5" s="23">
        <v>1522.8861910088806</v>
      </c>
      <c r="AI5" s="23">
        <v>20</v>
      </c>
      <c r="AJ5" s="23">
        <f t="shared" si="1"/>
        <v>39.084669308605122</v>
      </c>
      <c r="AK5" s="23">
        <f t="array" ref="AK5:AM5">FLEXCOMPBIAXT($B$4,$B$5,$B$6,$B$15,$B$16,$B$17,$B$18,$B$11,$B$12,$B$13,$B$7,$B$8,AI5,AJ5,$B$3,$B$14)</f>
        <v>-112.78826360070526</v>
      </c>
      <c r="AL5" s="23">
        <v>480.14264994965345</v>
      </c>
      <c r="AM5" s="23">
        <v>2326.6372561369376</v>
      </c>
      <c r="AO5" s="23">
        <v>70.567705511172761</v>
      </c>
      <c r="AP5" s="23">
        <v>1180.2317824370357</v>
      </c>
      <c r="AQ5" s="23">
        <v>-106.0708181445407</v>
      </c>
      <c r="AR5" s="23">
        <f t="shared" si="3"/>
        <v>1138.3805484991658</v>
      </c>
    </row>
    <row r="6" spans="1:44" x14ac:dyDescent="0.2">
      <c r="A6" s="11" t="s">
        <v>2</v>
      </c>
      <c r="B6" s="12">
        <v>2100</v>
      </c>
      <c r="C6" s="13"/>
      <c r="D6" s="13"/>
      <c r="E6" s="13"/>
      <c r="F6" s="13"/>
      <c r="G6" s="13"/>
      <c r="H6" s="13"/>
      <c r="I6" s="24"/>
      <c r="J6" s="13"/>
      <c r="K6" s="13"/>
      <c r="L6" s="13"/>
      <c r="M6" s="13"/>
      <c r="N6" s="13"/>
      <c r="O6" s="13"/>
      <c r="P6" s="14"/>
      <c r="Q6" s="22">
        <v>-184.29052734375</v>
      </c>
      <c r="R6" s="22">
        <v>1676.9306640625</v>
      </c>
      <c r="S6" s="22">
        <v>17.845218658447266</v>
      </c>
      <c r="T6" s="23" t="s">
        <v>191</v>
      </c>
      <c r="U6" s="23">
        <f t="shared" si="2"/>
        <v>1649.5920616798983</v>
      </c>
      <c r="W6" s="3" t="s">
        <v>43</v>
      </c>
      <c r="X6" s="5">
        <f>RADIANS(B9)</f>
        <v>1.3790294748716174</v>
      </c>
      <c r="Z6" s="3" t="s">
        <v>44</v>
      </c>
      <c r="AA6" s="5">
        <f ca="1">IF(AA5&lt;X7,X2,IF(AA5&gt;X4,X3,X2+(X3-X2)*(AA5-X7)/(X4-X7)))</f>
        <v>0.65</v>
      </c>
      <c r="AC6" s="23">
        <v>30</v>
      </c>
      <c r="AD6" s="23">
        <f t="shared" si="0"/>
        <v>53.243074710786374</v>
      </c>
      <c r="AE6" s="23">
        <f t="array" ref="AE6:AG6">FLEXCOMPBIAXT($B$4,$B$5,$B$6,$B$15,$B$16,$B$17,$B$18,$B$11,$B$12,$B$13,$B$7,$B$8,AC6,AD6,$B$3,$B$14)</f>
        <v>-220.53087299686189</v>
      </c>
      <c r="AF6" s="23">
        <v>872.17486762176065</v>
      </c>
      <c r="AG6" s="23">
        <v>1411.3757042137822</v>
      </c>
      <c r="AI6" s="23">
        <v>30</v>
      </c>
      <c r="AJ6" s="23">
        <f t="shared" si="1"/>
        <v>37.855101896056681</v>
      </c>
      <c r="AK6" s="23">
        <f t="array" ref="AK6:AM6">FLEXCOMPBIAXT($B$4,$B$5,$B$6,$B$15,$B$16,$B$17,$B$18,$B$11,$B$12,$B$13,$B$7,$B$8,AI6,AJ6,$B$3,$B$14)</f>
        <v>-112.76566583350021</v>
      </c>
      <c r="AL6" s="23">
        <v>717.10565180746755</v>
      </c>
      <c r="AM6" s="23">
        <v>2246.998877620219</v>
      </c>
      <c r="AO6" s="23">
        <v>24.911027621690707</v>
      </c>
      <c r="AP6" s="23">
        <v>1807.0189316321814</v>
      </c>
      <c r="AQ6" s="23">
        <v>-22.857445560372412</v>
      </c>
      <c r="AR6" s="23">
        <f t="shared" si="3"/>
        <v>1769.538013845405</v>
      </c>
    </row>
    <row r="7" spans="1:44" x14ac:dyDescent="0.2">
      <c r="A7" s="11" t="s">
        <v>109</v>
      </c>
      <c r="B7" s="12">
        <v>3</v>
      </c>
      <c r="C7" s="13"/>
      <c r="D7" s="13"/>
      <c r="E7" s="13"/>
      <c r="F7" s="13"/>
      <c r="G7" s="13"/>
      <c r="H7" s="13"/>
      <c r="I7" s="25" t="s">
        <v>124</v>
      </c>
      <c r="J7" s="13"/>
      <c r="K7" s="13"/>
      <c r="L7" s="13"/>
      <c r="M7" s="13"/>
      <c r="N7" s="13"/>
      <c r="O7" s="13"/>
      <c r="P7" s="14"/>
      <c r="Q7" s="22">
        <v>-193.10365295410156</v>
      </c>
      <c r="R7" s="22">
        <v>1509.0343017578125</v>
      </c>
      <c r="S7" s="22">
        <v>39.045375823974609</v>
      </c>
      <c r="T7" s="23" t="s">
        <v>128</v>
      </c>
      <c r="U7" s="23">
        <f t="shared" si="2"/>
        <v>1488.8140202210068</v>
      </c>
      <c r="W7" s="3" t="s">
        <v>45</v>
      </c>
      <c r="X7" s="5">
        <f>B5/B6*1000</f>
        <v>1.9999999091738747</v>
      </c>
      <c r="Z7" s="3" t="s">
        <v>46</v>
      </c>
      <c r="AA7" s="5">
        <f ca="1">SUM(OFFSET(AG45,0,0,COUNT($AG$45:$AG$72)))</f>
        <v>-52.515293767475995</v>
      </c>
      <c r="AC7" s="23">
        <v>40</v>
      </c>
      <c r="AD7" s="23">
        <f t="shared" si="0"/>
        <v>50.950201193396751</v>
      </c>
      <c r="AE7" s="23">
        <f t="array" ref="AE7:AG7">FLEXCOMPBIAXT($B$4,$B$5,$B$6,$B$15,$B$16,$B$17,$B$18,$B$11,$B$12,$B$13,$B$7,$B$8,AC7,AD7,$B$3,$B$14)</f>
        <v>-220.52182350778122</v>
      </c>
      <c r="AF7" s="23">
        <v>1070.4169796461722</v>
      </c>
      <c r="AG7" s="23">
        <v>1316.8168790801599</v>
      </c>
      <c r="AI7" s="23">
        <v>40</v>
      </c>
      <c r="AJ7" s="23">
        <f t="shared" si="1"/>
        <v>35.553256776896262</v>
      </c>
      <c r="AK7" s="23">
        <f t="array" ref="AK7:AM7">FLEXCOMPBIAXT($B$4,$B$5,$B$6,$B$15,$B$16,$B$17,$B$18,$B$11,$B$12,$B$13,$B$7,$B$8,AI7,AJ7,$B$3,$B$14)</f>
        <v>-112.77472462229737</v>
      </c>
      <c r="AL7" s="23">
        <v>995.93620263853677</v>
      </c>
      <c r="AM7" s="23">
        <v>2103.0524717161275</v>
      </c>
      <c r="AO7" s="23">
        <v>-37.445792658697982</v>
      </c>
      <c r="AP7" s="23">
        <v>2478.9028289610733</v>
      </c>
      <c r="AQ7" s="23">
        <v>194.81064089595264</v>
      </c>
      <c r="AR7" s="23">
        <f t="shared" si="3"/>
        <v>2470.591774989894</v>
      </c>
    </row>
    <row r="8" spans="1:44" x14ac:dyDescent="0.2">
      <c r="A8" s="11" t="s">
        <v>4</v>
      </c>
      <c r="B8" s="12">
        <v>15</v>
      </c>
      <c r="C8" s="13"/>
      <c r="D8" s="13"/>
      <c r="E8" s="13"/>
      <c r="F8" s="13"/>
      <c r="G8" s="13"/>
      <c r="H8" s="13"/>
      <c r="I8" s="6" t="s">
        <v>41</v>
      </c>
      <c r="J8" s="6" t="s">
        <v>15</v>
      </c>
      <c r="K8" s="6" t="s">
        <v>14</v>
      </c>
      <c r="L8" s="6" t="s">
        <v>122</v>
      </c>
      <c r="M8" s="6" t="s">
        <v>42</v>
      </c>
      <c r="N8" s="13"/>
      <c r="O8" s="13"/>
      <c r="P8" s="14"/>
      <c r="Q8" s="22">
        <v>-193.0272216796875</v>
      </c>
      <c r="R8" s="22">
        <v>1504.3433837890625</v>
      </c>
      <c r="S8" s="22">
        <v>26.148242950439453</v>
      </c>
      <c r="T8" s="23" t="s">
        <v>204</v>
      </c>
      <c r="U8" s="23">
        <f t="shared" si="2"/>
        <v>1481.7509796927395</v>
      </c>
      <c r="W8" s="3" t="s">
        <v>6</v>
      </c>
      <c r="X8" s="5">
        <f>-X1*B4</f>
        <v>-0.17849999442696571</v>
      </c>
      <c r="Z8" s="3" t="s">
        <v>47</v>
      </c>
      <c r="AA8" s="5">
        <f ca="1">SUM(OFFSET(AH45,0,0,COUNT($AH$45:$AH$72)))</f>
        <v>-1102.7346988123572</v>
      </c>
      <c r="AC8" s="23">
        <v>50</v>
      </c>
      <c r="AD8" s="23">
        <f t="shared" si="0"/>
        <v>47.14380621328452</v>
      </c>
      <c r="AE8" s="23">
        <f t="array" ref="AE8:AG8">FLEXCOMPBIAXT($B$4,$B$5,$B$6,$B$15,$B$16,$B$17,$B$18,$B$11,$B$12,$B$13,$B$7,$B$8,AC8,AD8,$B$3,$B$14)</f>
        <v>-220.53498876873897</v>
      </c>
      <c r="AF8" s="23">
        <v>1221.7728078230525</v>
      </c>
      <c r="AG8" s="23">
        <v>1216.3627652618497</v>
      </c>
      <c r="AI8" s="23">
        <v>50</v>
      </c>
      <c r="AJ8" s="23">
        <f t="shared" si="1"/>
        <v>31.268521806380292</v>
      </c>
      <c r="AK8" s="23">
        <f t="array" ref="AK8:AM8">FLEXCOMPBIAXT($B$4,$B$5,$B$6,$B$15,$B$16,$B$17,$B$18,$B$11,$B$12,$B$13,$B$7,$B$8,AI8,AJ8,$B$3,$B$14)</f>
        <v>-112.75734902824789</v>
      </c>
      <c r="AL8" s="23">
        <v>1364.8834814638817</v>
      </c>
      <c r="AM8" s="23">
        <v>1984.9488248838961</v>
      </c>
      <c r="AO8" s="23">
        <v>-75.780774891590596</v>
      </c>
      <c r="AP8" s="23">
        <v>2379.7837238890943</v>
      </c>
      <c r="AQ8" s="23">
        <v>419.43923579089846</v>
      </c>
      <c r="AR8" s="23">
        <f t="shared" si="3"/>
        <v>2416.1024055673151</v>
      </c>
    </row>
    <row r="9" spans="1:44" x14ac:dyDescent="0.2">
      <c r="A9" s="11" t="s">
        <v>18</v>
      </c>
      <c r="B9" s="12">
        <v>79.012568734285892</v>
      </c>
      <c r="C9" s="13"/>
      <c r="D9" s="13"/>
      <c r="E9" s="13"/>
      <c r="F9" s="13"/>
      <c r="G9" s="13"/>
      <c r="H9" s="13"/>
      <c r="I9" s="26">
        <v>-193.47468566894531</v>
      </c>
      <c r="J9" s="26">
        <v>1899.5633544921875</v>
      </c>
      <c r="K9" s="26">
        <v>746.16998291015625</v>
      </c>
      <c r="L9" s="7">
        <f t="shared" ref="L9" si="4">J9*COS($X$6)+K9*SIN($X$6)</f>
        <v>1094.5366768041381</v>
      </c>
      <c r="M9" s="7">
        <f>SQRT(I9^2+J9^2+K9^2)</f>
        <v>2050.0104963439703</v>
      </c>
      <c r="N9" s="13"/>
      <c r="O9" s="13"/>
      <c r="P9" s="14"/>
      <c r="Q9" s="22">
        <v>-192.93278503417969</v>
      </c>
      <c r="R9" s="22">
        <v>1502.942626953125</v>
      </c>
      <c r="S9" s="22">
        <v>26.592620849609375</v>
      </c>
      <c r="T9" s="23" t="s">
        <v>206</v>
      </c>
      <c r="U9" s="23">
        <f t="shared" si="2"/>
        <v>1480.4605957149981</v>
      </c>
      <c r="W9" s="3" t="s">
        <v>48</v>
      </c>
      <c r="X9" s="5">
        <f t="array" ref="X9:X11">MOMENTSPOLY(A45:B53)</f>
        <v>2000</v>
      </c>
      <c r="Z9" s="3" t="s">
        <v>49</v>
      </c>
      <c r="AA9" s="5">
        <f ca="1">SUM(OFFSET(AI45,0,0,COUNT($AI$45:$AI$72)))</f>
        <v>-143.60437947957945</v>
      </c>
      <c r="AC9" s="23">
        <v>60</v>
      </c>
      <c r="AD9" s="23">
        <f t="shared" si="0"/>
        <v>42.098294028942846</v>
      </c>
      <c r="AE9" s="23">
        <f t="array" ref="AE9:AG9">FLEXCOMPBIAXT($B$4,$B$5,$B$6,$B$15,$B$16,$B$17,$B$18,$B$11,$B$12,$B$13,$B$7,$B$8,AC9,AD9,$B$3,$B$14)</f>
        <v>-220.53739973065808</v>
      </c>
      <c r="AF9" s="23">
        <v>1346.1026748025708</v>
      </c>
      <c r="AG9" s="23">
        <v>1109.9682344811297</v>
      </c>
      <c r="AI9" s="23">
        <v>60</v>
      </c>
      <c r="AJ9" s="23">
        <f t="shared" si="1"/>
        <v>26.553379301532068</v>
      </c>
      <c r="AK9" s="23">
        <f t="array" ref="AK9:AM9">FLEXCOMPBIAXT($B$4,$B$5,$B$6,$B$15,$B$16,$B$17,$B$18,$B$11,$B$12,$B$13,$B$7,$B$8,AI9,AJ9,$B$3,$B$14)</f>
        <v>-112.78471765735577</v>
      </c>
      <c r="AL9" s="23">
        <v>1837.3690021653913</v>
      </c>
      <c r="AM9" s="23">
        <v>1682.0037620365511</v>
      </c>
      <c r="AO9" s="23">
        <v>-117.39462630427629</v>
      </c>
      <c r="AP9" s="23">
        <v>2144.0180592195948</v>
      </c>
      <c r="AQ9" s="23">
        <v>550.7532846151704</v>
      </c>
      <c r="AR9" s="23">
        <f t="shared" si="3"/>
        <v>2209.6861819023488</v>
      </c>
    </row>
    <row r="10" spans="1:44" x14ac:dyDescent="0.2">
      <c r="A10" s="11" t="s">
        <v>35</v>
      </c>
      <c r="B10" s="12">
        <v>33.677074273220882</v>
      </c>
      <c r="C10" s="13"/>
      <c r="D10" s="13"/>
      <c r="E10" s="13"/>
      <c r="F10" s="13"/>
      <c r="G10" s="13"/>
      <c r="H10" s="13"/>
      <c r="I10" s="27">
        <f>I9/M9</f>
        <v>-9.4377412220079809E-2</v>
      </c>
      <c r="J10" s="27">
        <f>J9/M9</f>
        <v>0.92661152607750386</v>
      </c>
      <c r="K10" s="27">
        <f>K9/M9</f>
        <v>0.36398349386058787</v>
      </c>
      <c r="L10" s="13"/>
      <c r="M10" s="13"/>
      <c r="N10" s="13"/>
      <c r="O10" s="13"/>
      <c r="P10" s="14"/>
      <c r="Q10" s="22">
        <v>-193.12612915039063</v>
      </c>
      <c r="R10" s="22">
        <v>1501.9039306640625</v>
      </c>
      <c r="S10" s="22">
        <v>27.013982772827148</v>
      </c>
      <c r="T10" s="23" t="s">
        <v>129</v>
      </c>
      <c r="U10" s="23">
        <f t="shared" si="2"/>
        <v>1479.5212486593398</v>
      </c>
      <c r="W10" s="3" t="s">
        <v>50</v>
      </c>
      <c r="X10" s="5">
        <v>45625</v>
      </c>
      <c r="Z10" s="3" t="s">
        <v>51</v>
      </c>
      <c r="AA10" s="5">
        <f ca="1">0.8*X2*(X8*(X9-X12)-B5*X12)</f>
        <v>-264.4756192782242</v>
      </c>
      <c r="AC10" s="23">
        <v>70</v>
      </c>
      <c r="AD10" s="23">
        <f t="shared" si="0"/>
        <v>38.086343774497024</v>
      </c>
      <c r="AE10" s="23">
        <f t="array" ref="AE10:AG10">FLEXCOMPBIAXT($B$4,$B$5,$B$6,$B$15,$B$16,$B$17,$B$18,$B$11,$B$12,$B$13,$B$7,$B$8,AC10,AD10,$B$3,$B$14)</f>
        <v>-220.54236123071394</v>
      </c>
      <c r="AF10" s="23">
        <v>1449.5392219524717</v>
      </c>
      <c r="AG10" s="23">
        <v>963.39447922116733</v>
      </c>
      <c r="AI10" s="23">
        <v>70</v>
      </c>
      <c r="AJ10" s="23">
        <f t="shared" si="1"/>
        <v>23.377193585650229</v>
      </c>
      <c r="AK10" s="23">
        <f t="array" ref="AK10:AM10">FLEXCOMPBIAXT($B$4,$B$5,$B$6,$B$15,$B$16,$B$17,$B$18,$B$11,$B$12,$B$13,$B$7,$B$8,AI10,AJ10,$B$3,$B$14)</f>
        <v>-112.76667806829425</v>
      </c>
      <c r="AL10" s="23">
        <v>2216.5580689125013</v>
      </c>
      <c r="AM10" s="23">
        <v>1139.3416491919272</v>
      </c>
      <c r="AO10" s="23">
        <v>-134.66498876921236</v>
      </c>
      <c r="AP10" s="23">
        <v>1979.9504614566806</v>
      </c>
      <c r="AQ10" s="23">
        <v>605.20591749468485</v>
      </c>
      <c r="AR10" s="23">
        <f t="shared" si="3"/>
        <v>2059.004430862778</v>
      </c>
    </row>
    <row r="11" spans="1:44" x14ac:dyDescent="0.2">
      <c r="A11" s="11" t="s">
        <v>9</v>
      </c>
      <c r="B11" s="12">
        <v>2</v>
      </c>
      <c r="C11" s="13"/>
      <c r="D11" s="13"/>
      <c r="E11" s="13"/>
      <c r="F11" s="13"/>
      <c r="G11" s="13"/>
      <c r="H11" s="13"/>
      <c r="I11" s="24"/>
      <c r="J11" s="13"/>
      <c r="K11" s="13"/>
      <c r="L11" s="13"/>
      <c r="M11" s="13"/>
      <c r="N11" s="13"/>
      <c r="O11" s="13"/>
      <c r="P11" s="14"/>
      <c r="Q11" s="22">
        <v>-193.28498840332031</v>
      </c>
      <c r="R11" s="22">
        <v>1500.7325439453125</v>
      </c>
      <c r="S11" s="22">
        <v>25.492536544799805</v>
      </c>
      <c r="T11" s="23" t="s">
        <v>201</v>
      </c>
      <c r="U11" s="23">
        <f t="shared" si="2"/>
        <v>1478.0813566128252</v>
      </c>
      <c r="W11" s="3" t="s">
        <v>55</v>
      </c>
      <c r="X11" s="5">
        <v>50000</v>
      </c>
      <c r="Z11" s="3" t="s">
        <v>56</v>
      </c>
      <c r="AA11" s="5">
        <f t="array" aca="1" ref="AA11:AA13" ca="1">MOMENTSPOLY(OFFSET($H$45,0,0,COUNT($H$45:$H$51),2))</f>
        <v>1255.4984903253837</v>
      </c>
      <c r="AC11" s="23">
        <v>80</v>
      </c>
      <c r="AD11" s="23">
        <f t="shared" si="0"/>
        <v>38.875596960388123</v>
      </c>
      <c r="AE11" s="23">
        <f t="array" ref="AE11:AG11">FLEXCOMPBIAXT($B$4,$B$5,$B$6,$B$15,$B$16,$B$17,$B$18,$B$11,$B$12,$B$13,$B$7,$B$8,AC11,AD11,$B$3,$B$14)</f>
        <v>-220.53237586181638</v>
      </c>
      <c r="AF11" s="23">
        <v>1475.904274173764</v>
      </c>
      <c r="AG11" s="23">
        <v>735.50896160381706</v>
      </c>
      <c r="AI11" s="23">
        <v>80</v>
      </c>
      <c r="AJ11" s="23">
        <f t="shared" si="1"/>
        <v>25.73855744410983</v>
      </c>
      <c r="AK11" s="23">
        <f t="array" ref="AK11:AM11">FLEXCOMPBIAXT($B$4,$B$5,$B$6,$B$15,$B$16,$B$17,$B$18,$B$11,$B$12,$B$13,$B$7,$B$8,AI11,AJ11,$B$3,$B$14)</f>
        <v>-112.7701239400208</v>
      </c>
      <c r="AL11" s="23">
        <v>2165.4638205674414</v>
      </c>
      <c r="AM11" s="23">
        <v>481.16816835644784</v>
      </c>
      <c r="AO11" s="23">
        <v>-164.73987543134336</v>
      </c>
      <c r="AP11" s="23">
        <v>1847.9040011589891</v>
      </c>
      <c r="AQ11" s="23">
        <v>658.25499099483659</v>
      </c>
      <c r="AR11" s="23">
        <f t="shared" si="3"/>
        <v>1939.4893288427529</v>
      </c>
    </row>
    <row r="12" spans="1:44" x14ac:dyDescent="0.2">
      <c r="A12" s="11" t="s">
        <v>10</v>
      </c>
      <c r="B12" s="12">
        <v>2</v>
      </c>
      <c r="C12" s="13"/>
      <c r="D12" s="13"/>
      <c r="E12" s="13"/>
      <c r="F12" s="13"/>
      <c r="G12" s="13"/>
      <c r="H12" s="13"/>
      <c r="I12" s="25" t="s">
        <v>125</v>
      </c>
      <c r="J12" s="13"/>
      <c r="K12" s="13"/>
      <c r="L12" s="13"/>
      <c r="M12" s="13"/>
      <c r="N12" s="13"/>
      <c r="O12" s="13"/>
      <c r="P12" s="14"/>
      <c r="Q12" s="22">
        <v>-192.98037719726563</v>
      </c>
      <c r="R12" s="22">
        <v>1499.5281982421875</v>
      </c>
      <c r="S12" s="22">
        <v>18.138359069824219</v>
      </c>
      <c r="T12" s="23" t="s">
        <v>130</v>
      </c>
      <c r="U12" s="23">
        <f t="shared" si="2"/>
        <v>1475.4974281834438</v>
      </c>
      <c r="W12" s="3" t="s">
        <v>57</v>
      </c>
      <c r="X12" s="5">
        <f t="array" aca="1" ref="X12:X14" ca="1">MOMENTSPUNT(OFFSET($W$45,0,0,COUNT($W$45:$W$72),3))</f>
        <v>37.699111843077517</v>
      </c>
      <c r="Z12" s="3" t="s">
        <v>58</v>
      </c>
      <c r="AA12" s="5">
        <f ca="1"/>
        <v>9894.5834390166929</v>
      </c>
      <c r="AC12" s="23">
        <v>90</v>
      </c>
      <c r="AD12" s="23">
        <f t="shared" si="0"/>
        <v>39.769744873046875</v>
      </c>
      <c r="AE12" s="23">
        <f t="array" ref="AE12:AG12">FLEXCOMPBIAXT($B$4,$B$5,$B$6,$B$15,$B$16,$B$17,$B$18,$B$11,$B$12,$B$13,$B$7,$B$8,AC12,AD12,$B$3,$B$14)</f>
        <v>-220.55474394430257</v>
      </c>
      <c r="AF12" s="23">
        <v>1472.7762802474772</v>
      </c>
      <c r="AG12" s="23">
        <v>314.92363015728341</v>
      </c>
      <c r="AI12" s="23">
        <v>90</v>
      </c>
      <c r="AJ12" s="23">
        <f t="shared" si="1"/>
        <v>27.419281005859375</v>
      </c>
      <c r="AK12" s="23">
        <f t="array" ref="AK12:AM12">FLEXCOMPBIAXT($B$4,$B$5,$B$6,$B$15,$B$16,$B$17,$B$18,$B$11,$B$12,$B$13,$B$7,$B$8,AI12,AJ12,$B$3,$B$14)</f>
        <v>-112.76694650343541</v>
      </c>
      <c r="AL12" s="23">
        <v>2027.8557513104831</v>
      </c>
      <c r="AM12" s="23">
        <v>-3.6687595555121213</v>
      </c>
      <c r="AO12" s="23">
        <v>-199.23392725263926</v>
      </c>
      <c r="AP12" s="23">
        <v>1639.042584461361</v>
      </c>
      <c r="AQ12" s="23">
        <v>737.89809938166138</v>
      </c>
      <c r="AR12" s="23">
        <f t="shared" si="3"/>
        <v>1749.6360184181713</v>
      </c>
    </row>
    <row r="13" spans="1:44" x14ac:dyDescent="0.2">
      <c r="A13" s="11" t="s">
        <v>11</v>
      </c>
      <c r="B13" s="12">
        <v>1</v>
      </c>
      <c r="C13" s="13"/>
      <c r="D13" s="13"/>
      <c r="E13" s="13"/>
      <c r="F13" s="13"/>
      <c r="G13" s="13"/>
      <c r="H13" s="13"/>
      <c r="I13" s="6" t="s">
        <v>52</v>
      </c>
      <c r="J13" s="6" t="s">
        <v>53</v>
      </c>
      <c r="K13" s="6" t="s">
        <v>54</v>
      </c>
      <c r="L13" s="13"/>
      <c r="M13" s="6" t="s">
        <v>127</v>
      </c>
      <c r="N13" s="13"/>
      <c r="O13" s="13"/>
      <c r="P13" s="14"/>
      <c r="Q13" s="22">
        <v>-193.08283996582031</v>
      </c>
      <c r="R13" s="22">
        <v>1499.1710205078125</v>
      </c>
      <c r="S13" s="22">
        <v>25.297758102416992</v>
      </c>
      <c r="T13" s="23" t="s">
        <v>131</v>
      </c>
      <c r="U13" s="23">
        <f t="shared" si="2"/>
        <v>1476.511333899912</v>
      </c>
      <c r="W13" s="3" t="s">
        <v>59</v>
      </c>
      <c r="X13" s="5">
        <f ca="1"/>
        <v>848.23001646924399</v>
      </c>
      <c r="Z13" s="3" t="s">
        <v>60</v>
      </c>
      <c r="AA13" s="5">
        <f ca="1"/>
        <v>2160.199496819921</v>
      </c>
      <c r="AC13" s="23">
        <v>100</v>
      </c>
      <c r="AD13" s="23">
        <f t="shared" si="0"/>
        <v>44.742624317172584</v>
      </c>
      <c r="AE13" s="23">
        <f t="array" ref="AE13:AG13">FLEXCOMPBIAXT($B$4,$B$5,$B$6,$B$15,$B$16,$B$17,$B$18,$B$11,$B$12,$B$13,$B$7,$B$8,AC13,AD13,$B$3,$B$14)</f>
        <v>-220.51877265574342</v>
      </c>
      <c r="AF13" s="23">
        <v>1378.5249664254593</v>
      </c>
      <c r="AG13" s="23">
        <v>-111.62727979082591</v>
      </c>
      <c r="AI13" s="23">
        <v>100</v>
      </c>
      <c r="AJ13" s="23">
        <f t="shared" si="1"/>
        <v>31.92444498332825</v>
      </c>
      <c r="AK13" s="23">
        <f t="array" ref="AK13:AM13">FLEXCOMPBIAXT($B$4,$B$5,$B$6,$B$15,$B$16,$B$17,$B$18,$B$11,$B$12,$B$13,$B$7,$B$8,AI13,AJ13,$B$3,$B$14)</f>
        <v>-112.76444685780403</v>
      </c>
      <c r="AL13" s="23">
        <v>1867.437761078321</v>
      </c>
      <c r="AM13" s="23">
        <v>-524.05553954054506</v>
      </c>
      <c r="AO13" s="23">
        <v>-234.99870011327204</v>
      </c>
      <c r="AP13" s="23">
        <v>1347.7298559699166</v>
      </c>
      <c r="AQ13" s="23">
        <v>723.80691073107982</v>
      </c>
      <c r="AR13" s="23">
        <f t="shared" si="3"/>
        <v>1460.9776475065839</v>
      </c>
    </row>
    <row r="14" spans="1:44" x14ac:dyDescent="0.2">
      <c r="A14" s="11" t="s">
        <v>110</v>
      </c>
      <c r="B14" s="12">
        <v>0</v>
      </c>
      <c r="C14" s="13"/>
      <c r="D14" s="13"/>
      <c r="E14" s="13"/>
      <c r="F14" s="13"/>
      <c r="G14" s="13"/>
      <c r="H14" s="13"/>
      <c r="I14" s="7">
        <f>ROUND(I5/I10-1,3)</f>
        <v>0</v>
      </c>
      <c r="J14" s="7">
        <f>ROUND(J5/J10-1,3)</f>
        <v>0</v>
      </c>
      <c r="K14" s="7">
        <f>ROUND(K5/K10-1,3)</f>
        <v>0</v>
      </c>
      <c r="L14" s="13"/>
      <c r="M14" s="7">
        <f>M4/M9</f>
        <v>0.92914739969028015</v>
      </c>
      <c r="N14" s="13"/>
      <c r="O14" s="13"/>
      <c r="P14" s="14"/>
      <c r="Q14" s="22">
        <v>-193.27616882324219</v>
      </c>
      <c r="R14" s="22">
        <v>1498.1324462890625</v>
      </c>
      <c r="S14" s="22">
        <v>25.719120025634766</v>
      </c>
      <c r="T14" s="23" t="s">
        <v>202</v>
      </c>
      <c r="U14" s="23">
        <f t="shared" si="2"/>
        <v>1475.5721066768972</v>
      </c>
      <c r="W14" s="3" t="s">
        <v>62</v>
      </c>
      <c r="X14" s="5">
        <f ca="1"/>
        <v>942.47779607693792</v>
      </c>
      <c r="Z14" s="3" t="s">
        <v>63</v>
      </c>
      <c r="AA14" s="5">
        <f ca="1">AA11*$X$8</f>
        <v>-224.10647352614487</v>
      </c>
      <c r="AC14" s="23">
        <v>110</v>
      </c>
      <c r="AD14" s="23">
        <f t="shared" si="0"/>
        <v>48.44833758191831</v>
      </c>
      <c r="AE14" s="23">
        <f t="array" ref="AE14:AG14">FLEXCOMPBIAXT($B$4,$B$5,$B$6,$B$15,$B$16,$B$17,$B$18,$B$11,$B$12,$B$13,$B$7,$B$8,AC14,AD14,$B$3,$B$14)</f>
        <v>-220.54858839340966</v>
      </c>
      <c r="AF14" s="23">
        <v>1239.1654475016235</v>
      </c>
      <c r="AG14" s="23">
        <v>-540.01524696461081</v>
      </c>
      <c r="AI14" s="23">
        <v>110</v>
      </c>
      <c r="AJ14" s="23">
        <f t="shared" si="1"/>
        <v>35.539062666784545</v>
      </c>
      <c r="AK14" s="23">
        <f t="array" ref="AK14:AM14">FLEXCOMPBIAXT($B$4,$B$5,$B$6,$B$15,$B$16,$B$17,$B$18,$B$11,$B$12,$B$13,$B$7,$B$8,AI14,AJ14,$B$3,$B$14)</f>
        <v>-112.7809851365886</v>
      </c>
      <c r="AL14" s="23">
        <v>1678.9170004646112</v>
      </c>
      <c r="AM14" s="23">
        <v>-1000.5568591733102</v>
      </c>
      <c r="AO14" s="23">
        <v>-264.4756192782242</v>
      </c>
      <c r="AP14" s="23">
        <v>1037.2202631241787</v>
      </c>
      <c r="AQ14" s="23">
        <v>521.14896887292821</v>
      </c>
      <c r="AR14" s="23">
        <f t="shared" si="3"/>
        <v>1117.5346828657989</v>
      </c>
    </row>
    <row r="15" spans="1:44" x14ac:dyDescent="0.2">
      <c r="A15" s="11" t="s">
        <v>16</v>
      </c>
      <c r="B15" s="67">
        <v>50</v>
      </c>
      <c r="C15" s="13"/>
      <c r="D15" s="13"/>
      <c r="E15" s="13"/>
      <c r="F15" s="13"/>
      <c r="G15" s="13"/>
      <c r="H15" s="13"/>
      <c r="I15" s="24"/>
      <c r="J15" s="13"/>
      <c r="K15" s="13"/>
      <c r="L15" s="13"/>
      <c r="M15" s="13"/>
      <c r="N15" s="13"/>
      <c r="O15" s="13"/>
      <c r="P15" s="14"/>
      <c r="Q15" s="22">
        <v>-192.92431640625</v>
      </c>
      <c r="R15" s="22">
        <v>1496.823486328125</v>
      </c>
      <c r="S15" s="22">
        <v>21.481056213378906</v>
      </c>
      <c r="T15" s="23" t="s">
        <v>205</v>
      </c>
      <c r="U15" s="23">
        <f t="shared" si="2"/>
        <v>1473.4793931653971</v>
      </c>
      <c r="W15" s="3" t="s">
        <v>64</v>
      </c>
      <c r="X15" s="5">
        <f ca="1">(-X11*X8+(B5+X8)*X14)/(-X8*X9+(B5+X8)*X12)</f>
        <v>24.999999999999996</v>
      </c>
      <c r="Z15" s="3" t="s">
        <v>65</v>
      </c>
      <c r="AA15" s="5">
        <f ca="1">AA12*$X$8</f>
        <v>-1766.183088721627</v>
      </c>
      <c r="AC15" s="23">
        <v>120</v>
      </c>
      <c r="AD15" s="23">
        <f t="shared" si="0"/>
        <v>50.713614130429058</v>
      </c>
      <c r="AE15" s="23">
        <f t="array" ref="AE15:AG15">FLEXCOMPBIAXT($B$4,$B$5,$B$6,$B$15,$B$16,$B$17,$B$18,$B$11,$B$12,$B$13,$B$7,$B$8,AC15,AD15,$B$3,$B$14)</f>
        <v>-220.5422363825553</v>
      </c>
      <c r="AF15" s="23">
        <v>1031.0812991621819</v>
      </c>
      <c r="AG15" s="23">
        <v>-986.95824720710107</v>
      </c>
      <c r="AI15" s="23">
        <v>120</v>
      </c>
      <c r="AJ15" s="23">
        <f t="shared" si="1"/>
        <v>37.738469834819149</v>
      </c>
      <c r="AK15" s="23">
        <f t="array" ref="AK15:AM15">FLEXCOMPBIAXT($B$4,$B$5,$B$6,$B$15,$B$16,$B$17,$B$18,$B$11,$B$12,$B$13,$B$7,$B$8,AI15,AJ15,$B$3,$B$14)</f>
        <v>-112.7768965556227</v>
      </c>
      <c r="AL15" s="23">
        <v>1489.9344879872162</v>
      </c>
      <c r="AM15" s="23">
        <v>-1360.3470649967983</v>
      </c>
      <c r="AO15" s="23">
        <v>-264.4756192782242</v>
      </c>
      <c r="AP15" s="23">
        <v>757.12558201771208</v>
      </c>
      <c r="AQ15" s="23">
        <v>358.27299361538553</v>
      </c>
      <c r="AR15" s="23">
        <f t="shared" si="3"/>
        <v>811.53128515980609</v>
      </c>
    </row>
    <row r="16" spans="1:44" x14ac:dyDescent="0.2">
      <c r="A16" s="11" t="s">
        <v>17</v>
      </c>
      <c r="B16" s="67">
        <v>55</v>
      </c>
      <c r="C16" s="13"/>
      <c r="D16" s="13"/>
      <c r="E16" s="13"/>
      <c r="F16" s="13"/>
      <c r="G16" s="13"/>
      <c r="H16" s="13"/>
      <c r="I16" s="24"/>
      <c r="J16" s="13"/>
      <c r="K16" s="13"/>
      <c r="L16" s="13"/>
      <c r="M16" s="13"/>
      <c r="N16" s="13"/>
      <c r="O16" s="13"/>
      <c r="P16" s="14"/>
      <c r="Q16" s="22">
        <v>-192.87625122070313</v>
      </c>
      <c r="R16" s="22">
        <v>1496.6875</v>
      </c>
      <c r="S16" s="22">
        <v>16.033361434936523</v>
      </c>
      <c r="T16" s="23" t="s">
        <v>132</v>
      </c>
      <c r="U16" s="23">
        <f t="shared" si="2"/>
        <v>1472.3076035392669</v>
      </c>
      <c r="W16" s="3" t="s">
        <v>66</v>
      </c>
      <c r="X16" s="5">
        <f ca="1">(-X10*X8+(B5+X8)*X13)/(-X8*X9+(B5+X8)*X12)</f>
        <v>22.719349134514118</v>
      </c>
      <c r="Z16" s="3" t="s">
        <v>67</v>
      </c>
      <c r="AA16" s="5">
        <f ca="1">AA13*$X$8</f>
        <v>-385.59559814349001</v>
      </c>
      <c r="AC16" s="23">
        <v>130</v>
      </c>
      <c r="AD16" s="23">
        <f t="shared" si="0"/>
        <v>51.778497522025965</v>
      </c>
      <c r="AE16" s="23">
        <f t="array" ref="AE16:AG16">FLEXCOMPBIAXT($B$4,$B$5,$B$6,$B$15,$B$16,$B$17,$B$18,$B$11,$B$12,$B$13,$B$7,$B$8,AC16,AD16,$B$3,$B$14)</f>
        <v>-220.53042316417498</v>
      </c>
      <c r="AF16" s="23">
        <v>763.64113613316169</v>
      </c>
      <c r="AG16" s="23">
        <v>-1404.3347596840642</v>
      </c>
      <c r="AI16" s="23">
        <v>130</v>
      </c>
      <c r="AJ16" s="23">
        <f t="shared" si="1"/>
        <v>38.197091978055795</v>
      </c>
      <c r="AK16" s="23">
        <f t="array" ref="AK16:AM16">FLEXCOMPBIAXT($B$4,$B$5,$B$6,$B$15,$B$16,$B$17,$B$18,$B$11,$B$12,$B$13,$B$7,$B$8,AI16,AJ16,$B$3,$B$14)</f>
        <v>-112.78325131719423</v>
      </c>
      <c r="AL16" s="23">
        <v>1309.8642798686064</v>
      </c>
      <c r="AM16" s="23">
        <v>-1654.7654980683935</v>
      </c>
      <c r="AO16" s="23">
        <v>-264.4756192782242</v>
      </c>
      <c r="AP16" s="23">
        <v>3.3326867517762062E-13</v>
      </c>
      <c r="AQ16" s="23">
        <v>1.0089554637258824E-13</v>
      </c>
      <c r="AR16" s="23">
        <f t="shared" si="3"/>
        <v>3.4638958368304884E-13</v>
      </c>
    </row>
    <row r="17" spans="1:44" x14ac:dyDescent="0.2">
      <c r="A17" s="11" t="s">
        <v>113</v>
      </c>
      <c r="B17" s="67">
        <v>25</v>
      </c>
      <c r="C17" s="13"/>
      <c r="D17" s="13"/>
      <c r="E17" s="13"/>
      <c r="F17" s="13"/>
      <c r="G17" s="13"/>
      <c r="H17" s="13"/>
      <c r="I17" s="25" t="s">
        <v>68</v>
      </c>
      <c r="J17" s="13"/>
      <c r="K17" s="13"/>
      <c r="L17" s="13"/>
      <c r="M17" s="28" t="s">
        <v>61</v>
      </c>
      <c r="N17" s="13"/>
      <c r="O17" s="13"/>
      <c r="Q17" s="22">
        <v>-114.10828399658203</v>
      </c>
      <c r="R17" s="22">
        <v>-1057.4520263671875</v>
      </c>
      <c r="S17" s="22">
        <v>1156.1134033203125</v>
      </c>
      <c r="T17" s="23" t="s">
        <v>207</v>
      </c>
      <c r="U17" s="23">
        <f t="shared" si="2"/>
        <v>-817.72001148467803</v>
      </c>
      <c r="W17" s="3" t="s">
        <v>69</v>
      </c>
      <c r="X17" s="5">
        <f>IF(B4&lt;=B3,0.85,IF(B4&gt;=2*B3,0.65,0.85-(0.85-0.65)*(B4/B3-1)))</f>
        <v>0.85</v>
      </c>
      <c r="Z17" s="3" t="s">
        <v>70</v>
      </c>
      <c r="AA17" s="5">
        <f ca="1">AA14+AA7</f>
        <v>-276.62176729362085</v>
      </c>
      <c r="AC17" s="23">
        <v>140</v>
      </c>
      <c r="AD17" s="23">
        <f t="shared" si="0"/>
        <v>51.683966563383578</v>
      </c>
      <c r="AE17" s="23">
        <f t="array" ref="AE17:AG17">FLEXCOMPBIAXT($B$4,$B$5,$B$6,$B$15,$B$16,$B$17,$B$18,$B$11,$B$12,$B$13,$B$7,$B$8,AC17,AD17,$B$3,$B$14)</f>
        <v>-220.54265636961736</v>
      </c>
      <c r="AF17" s="23">
        <v>525.1914330729868</v>
      </c>
      <c r="AG17" s="23">
        <v>-1679.9694245131434</v>
      </c>
      <c r="AI17" s="23">
        <v>140</v>
      </c>
      <c r="AJ17" s="23">
        <f t="shared" si="1"/>
        <v>37.020787516869916</v>
      </c>
      <c r="AK17" s="23">
        <f t="array" ref="AK17:AM17">FLEXCOMPBIAXT($B$4,$B$5,$B$6,$B$15,$B$16,$B$17,$B$18,$B$11,$B$12,$B$13,$B$7,$B$8,AI17,AJ17,$B$3,$B$14)</f>
        <v>-112.77878002561555</v>
      </c>
      <c r="AL17" s="23">
        <v>1106.1554307130352</v>
      </c>
      <c r="AM17" s="23">
        <v>-1948.6609605362808</v>
      </c>
      <c r="AO17" s="23">
        <f t="array" ref="AO17:AQ30">DIAGRAFLEXCOMPT(B4,B5,B6,B15,B16,B17,B18,B11,B12,B13,B7,B8,B9+180,B3,B14)</f>
        <v>142.50263629535158</v>
      </c>
      <c r="AP17" s="23">
        <v>-2.778723431906549E-14</v>
      </c>
      <c r="AQ17" s="23">
        <v>31.257829937365564</v>
      </c>
      <c r="AR17" s="23">
        <f t="shared" si="3"/>
        <v>5.9575440663434209</v>
      </c>
    </row>
    <row r="18" spans="1:44" x14ac:dyDescent="0.2">
      <c r="A18" s="11" t="s">
        <v>114</v>
      </c>
      <c r="B18" s="67">
        <v>25</v>
      </c>
      <c r="C18" s="13"/>
      <c r="D18" s="13"/>
      <c r="E18" s="13"/>
      <c r="F18" s="13"/>
      <c r="G18" s="13"/>
      <c r="H18" s="13"/>
      <c r="I18" s="24"/>
      <c r="J18" s="13"/>
      <c r="K18" s="13"/>
      <c r="L18" s="13"/>
      <c r="M18" s="29" t="s">
        <v>12</v>
      </c>
      <c r="N18" s="30"/>
      <c r="O18" s="26" t="s">
        <v>21</v>
      </c>
      <c r="Q18" s="22">
        <v>-193.32376098632813</v>
      </c>
      <c r="R18" s="22">
        <v>1494.718017578125</v>
      </c>
      <c r="S18" s="22">
        <v>17.264860153198242</v>
      </c>
      <c r="T18" s="23" t="s">
        <v>133</v>
      </c>
      <c r="U18" s="23">
        <f t="shared" si="2"/>
        <v>1470.6089395088713</v>
      </c>
      <c r="W18" s="3" t="s">
        <v>71</v>
      </c>
      <c r="X18" s="5">
        <f ca="1">MAX(F45:F53)</f>
        <v>24.976403004947151</v>
      </c>
      <c r="Z18" s="3" t="s">
        <v>72</v>
      </c>
      <c r="AA18" s="5">
        <f ca="1">AA15+AA8</f>
        <v>-2868.9177875339842</v>
      </c>
      <c r="AC18" s="23">
        <v>150</v>
      </c>
      <c r="AD18" s="23">
        <f t="shared" si="0"/>
        <v>50.167911107210855</v>
      </c>
      <c r="AE18" s="23">
        <f t="array" ref="AE18:AG18">FLEXCOMPBIAXT($B$4,$B$5,$B$6,$B$15,$B$16,$B$17,$B$18,$B$11,$B$12,$B$13,$B$7,$B$8,AC18,AD18,$B$3,$B$14)</f>
        <v>-220.52190995413318</v>
      </c>
      <c r="AF18" s="23">
        <v>337.64543981615157</v>
      </c>
      <c r="AG18" s="23">
        <v>-1862.5543535799738</v>
      </c>
      <c r="AI18" s="23">
        <v>150</v>
      </c>
      <c r="AJ18" s="23">
        <f t="shared" si="1"/>
        <v>33.98379909867009</v>
      </c>
      <c r="AK18" s="23">
        <f t="array" ref="AK18:AM18">FLEXCOMPBIAXT($B$4,$B$5,$B$6,$B$15,$B$16,$B$17,$B$18,$B$11,$B$12,$B$13,$B$7,$B$8,AI18,AJ18,$B$3,$B$14)</f>
        <v>-112.76995813565274</v>
      </c>
      <c r="AL18" s="23">
        <v>922.92551944995728</v>
      </c>
      <c r="AM18" s="23">
        <v>-2284.0265322583173</v>
      </c>
      <c r="AO18" s="23">
        <v>127.11593015115048</v>
      </c>
      <c r="AP18" s="23">
        <v>-299.51654052677327</v>
      </c>
      <c r="AQ18" s="23">
        <v>-144.18020751409321</v>
      </c>
      <c r="AR18" s="23">
        <f t="shared" si="3"/>
        <v>-321.50594063351167</v>
      </c>
    </row>
    <row r="19" spans="1:44" x14ac:dyDescent="0.2">
      <c r="A19" s="24"/>
      <c r="B19" s="13"/>
      <c r="C19" s="13"/>
      <c r="D19" s="13"/>
      <c r="E19" s="13"/>
      <c r="F19" s="13"/>
      <c r="G19" s="13"/>
      <c r="H19" s="13"/>
      <c r="I19" s="24"/>
      <c r="J19" s="13"/>
      <c r="K19" s="13"/>
      <c r="L19" s="13"/>
      <c r="M19" s="13"/>
      <c r="N19" s="13"/>
      <c r="O19" s="13"/>
      <c r="P19" s="14"/>
      <c r="Q19" s="22">
        <v>-193.02825927734375</v>
      </c>
      <c r="R19" s="22">
        <v>1493.7489013671875</v>
      </c>
      <c r="S19" s="22">
        <v>10.07670783996582</v>
      </c>
      <c r="T19" s="23" t="s">
        <v>198</v>
      </c>
      <c r="U19" s="23">
        <f t="shared" si="2"/>
        <v>1468.2875719262652</v>
      </c>
      <c r="W19" s="3" t="s">
        <v>17</v>
      </c>
      <c r="X19" s="5">
        <f ca="1">X18-MIN(F45:F53)</f>
        <v>53.848292223762158</v>
      </c>
      <c r="Z19" s="3" t="s">
        <v>73</v>
      </c>
      <c r="AA19" s="5">
        <f ca="1">AA16+AA9</f>
        <v>-529.19997762306946</v>
      </c>
      <c r="AC19" s="23">
        <v>160</v>
      </c>
      <c r="AD19" s="23">
        <f t="shared" si="0"/>
        <v>47.317579729870218</v>
      </c>
      <c r="AE19" s="23">
        <f t="array" ref="AE19:AG19">FLEXCOMPBIAXT($B$4,$B$5,$B$6,$B$15,$B$16,$B$17,$B$18,$B$11,$B$12,$B$13,$B$7,$B$8,AC19,AD19,$B$3,$B$14)</f>
        <v>-220.53696894435268</v>
      </c>
      <c r="AF19" s="23">
        <v>182.20629393694824</v>
      </c>
      <c r="AG19" s="23">
        <v>-2008.0653901508201</v>
      </c>
      <c r="AI19" s="23">
        <v>160</v>
      </c>
      <c r="AJ19" s="23">
        <f t="shared" si="1"/>
        <v>29.263055226421585</v>
      </c>
      <c r="AK19" s="23">
        <f t="array" ref="AK19:AM19">FLEXCOMPBIAXT($B$4,$B$5,$B$6,$B$15,$B$16,$B$17,$B$18,$B$11,$B$12,$B$13,$B$7,$B$8,AI19,AJ19,$B$3,$B$14)</f>
        <v>-112.76011448074607</v>
      </c>
      <c r="AL19" s="23">
        <v>767.4477122949138</v>
      </c>
      <c r="AM19" s="23">
        <v>-2681.7391086382095</v>
      </c>
      <c r="AO19" s="23">
        <v>86.886517547599709</v>
      </c>
      <c r="AP19" s="23">
        <v>-1055.4588203149804</v>
      </c>
      <c r="AQ19" s="23">
        <v>-593.84830047171079</v>
      </c>
      <c r="AR19" s="23">
        <f t="shared" si="3"/>
        <v>-1149.2949407226156</v>
      </c>
    </row>
    <row r="20" spans="1:44" x14ac:dyDescent="0.2">
      <c r="A20" s="24"/>
      <c r="B20" s="13"/>
      <c r="C20" s="13"/>
      <c r="D20" s="13"/>
      <c r="E20" s="13"/>
      <c r="F20" s="13"/>
      <c r="G20" s="13"/>
      <c r="H20" s="13"/>
      <c r="I20" s="29" t="s">
        <v>74</v>
      </c>
      <c r="J20" s="30"/>
      <c r="K20" s="31" t="s">
        <v>119</v>
      </c>
      <c r="L20" s="32"/>
      <c r="M20" s="33"/>
      <c r="N20" s="13"/>
      <c r="O20" s="13"/>
      <c r="P20" s="14"/>
      <c r="Q20" s="22">
        <v>-193.18208312988281</v>
      </c>
      <c r="R20" s="22">
        <v>1493.212646484375</v>
      </c>
      <c r="S20" s="22">
        <v>20.825349807739258</v>
      </c>
      <c r="T20" s="23" t="s">
        <v>203</v>
      </c>
      <c r="U20" s="23">
        <f t="shared" si="2"/>
        <v>1469.8097700854826</v>
      </c>
      <c r="W20" s="3" t="s">
        <v>76</v>
      </c>
      <c r="X20" s="5">
        <f ca="1">MIN(IF(B10&lt;=0,0,X17*B10),X19)</f>
        <v>28.625513132237749</v>
      </c>
      <c r="Z20" s="3" t="s">
        <v>77</v>
      </c>
      <c r="AA20" s="5">
        <f ca="1">-AA18*COS(X6)-AA19*SIN(X6)</f>
        <v>1066.2967497713721</v>
      </c>
      <c r="AC20" s="23">
        <v>170</v>
      </c>
      <c r="AD20" s="23">
        <f t="shared" si="0"/>
        <v>43.656408971183531</v>
      </c>
      <c r="AE20" s="23">
        <f t="array" ref="AE20:AG20">FLEXCOMPBIAXT($B$4,$B$5,$B$6,$B$15,$B$16,$B$17,$B$18,$B$11,$B$12,$B$13,$B$7,$B$8,AC20,AD20,$B$3,$B$14)</f>
        <v>-220.54871102085315</v>
      </c>
      <c r="AF20" s="23">
        <v>84.845753360915154</v>
      </c>
      <c r="AG20" s="23">
        <v>-2091.2778258771814</v>
      </c>
      <c r="AI20" s="23">
        <v>170</v>
      </c>
      <c r="AJ20" s="23">
        <f t="shared" si="1"/>
        <v>24.091434645497991</v>
      </c>
      <c r="AK20" s="23">
        <f t="array" ref="AK20:AM20">FLEXCOMPBIAXT($B$4,$B$5,$B$6,$B$15,$B$16,$B$17,$B$18,$B$11,$B$12,$B$13,$B$7,$B$8,AI20,AJ20,$B$3,$B$14)</f>
        <v>-112.74666251664786</v>
      </c>
      <c r="AL20" s="23">
        <v>455.28202156563924</v>
      </c>
      <c r="AM20" s="23">
        <v>-3133.485642600127</v>
      </c>
      <c r="AO20" s="23">
        <v>55.116733615181161</v>
      </c>
      <c r="AP20" s="23">
        <v>-1547.8668038186215</v>
      </c>
      <c r="AQ20" s="23">
        <v>-853.78027179803564</v>
      </c>
      <c r="AR20" s="23">
        <f t="shared" si="3"/>
        <v>-1682.2179863107608</v>
      </c>
    </row>
    <row r="21" spans="1:44" x14ac:dyDescent="0.2">
      <c r="A21" s="34"/>
      <c r="B21" s="35"/>
      <c r="C21" s="35"/>
      <c r="D21" s="35"/>
      <c r="E21" s="35"/>
      <c r="F21" s="35"/>
      <c r="G21" s="35"/>
      <c r="H21" s="35"/>
      <c r="I21" s="29" t="s">
        <v>78</v>
      </c>
      <c r="J21" s="30"/>
      <c r="K21" s="36">
        <v>20</v>
      </c>
      <c r="L21" s="35"/>
      <c r="M21" s="35"/>
      <c r="N21" s="35"/>
      <c r="O21" s="35"/>
      <c r="P21" s="37"/>
      <c r="Q21" s="22">
        <v>-192.88658142089844</v>
      </c>
      <c r="R21" s="22">
        <v>1492.2435302734375</v>
      </c>
      <c r="S21" s="22">
        <v>13.63719654083252</v>
      </c>
      <c r="T21" s="23" t="s">
        <v>134</v>
      </c>
      <c r="U21" s="23">
        <f t="shared" si="2"/>
        <v>1467.4884023211123</v>
      </c>
      <c r="W21" s="3" t="s">
        <v>79</v>
      </c>
      <c r="X21" s="5">
        <f ca="1">X18-X20</f>
        <v>-3.6491101272905979</v>
      </c>
      <c r="Z21" s="3" t="s">
        <v>80</v>
      </c>
      <c r="AA21" s="5">
        <f ca="1">-AA18*SIN(X6)+AA19*COS(X6)</f>
        <v>2715.4655456057908</v>
      </c>
      <c r="AC21" s="23">
        <v>180</v>
      </c>
      <c r="AD21" s="23">
        <f t="shared" si="0"/>
        <v>39.003372192382813</v>
      </c>
      <c r="AE21" s="23">
        <f t="array" ref="AE21:AG21">FLEXCOMPBIAXT($B$4,$B$5,$B$6,$B$15,$B$16,$B$17,$B$18,$B$11,$B$12,$B$13,$B$7,$B$8,AC21,AD21,$B$3,$B$14)</f>
        <v>-220.5287149106866</v>
      </c>
      <c r="AF21" s="23">
        <v>-6.7863822361758895E-14</v>
      </c>
      <c r="AG21" s="23">
        <v>-2143.5211769563412</v>
      </c>
      <c r="AI21" s="23">
        <v>180</v>
      </c>
      <c r="AJ21" s="23">
        <f t="shared" si="1"/>
        <v>17.935256958007813</v>
      </c>
      <c r="AK21" s="23">
        <f t="array" ref="AK21:AM21">FLEXCOMPBIAXT($B$4,$B$5,$B$6,$B$15,$B$16,$B$17,$B$18,$B$11,$B$12,$B$13,$B$7,$B$8,AI21,AJ21,$B$3,$B$14)</f>
        <v>-112.78961427215179</v>
      </c>
      <c r="AL21" s="23">
        <v>3.850939434202281E-13</v>
      </c>
      <c r="AM21" s="23">
        <v>-3573.4067163692107</v>
      </c>
      <c r="AO21" s="23">
        <v>15.894877127432387</v>
      </c>
      <c r="AP21" s="23">
        <v>-2070.1500251703196</v>
      </c>
      <c r="AQ21" s="23">
        <v>-1085.9788443566861</v>
      </c>
      <c r="AR21" s="23">
        <f t="shared" si="3"/>
        <v>-2239.1828174170992</v>
      </c>
    </row>
    <row r="22" spans="1:44" x14ac:dyDescent="0.2">
      <c r="A22" s="24"/>
      <c r="B22" s="13"/>
      <c r="C22" s="13"/>
      <c r="D22" s="13"/>
      <c r="E22" s="13"/>
      <c r="F22" s="13"/>
      <c r="G22" s="13"/>
      <c r="H22" s="13"/>
      <c r="I22" s="24"/>
      <c r="J22" s="13"/>
      <c r="K22" s="13"/>
      <c r="L22" s="13"/>
      <c r="M22" s="13"/>
      <c r="N22" s="13"/>
      <c r="O22" s="13"/>
      <c r="P22" s="14"/>
      <c r="Q22" s="22">
        <v>-193.33409118652344</v>
      </c>
      <c r="R22" s="22">
        <v>1490.27392578125</v>
      </c>
      <c r="S22" s="22">
        <v>14.868695259094238</v>
      </c>
      <c r="T22" s="23" t="s">
        <v>135</v>
      </c>
      <c r="U22" s="23">
        <f t="shared" si="2"/>
        <v>1465.7896184580727</v>
      </c>
      <c r="Z22" s="3" t="s">
        <v>81</v>
      </c>
      <c r="AA22" s="19">
        <f ca="1">MAX($AA$6*AA17,AA10)</f>
        <v>-179.80414874085355</v>
      </c>
      <c r="AC22" s="23">
        <v>190</v>
      </c>
      <c r="AD22" s="23">
        <f t="shared" si="0"/>
        <v>43.656408971183531</v>
      </c>
      <c r="AE22" s="23">
        <f t="array" ref="AE22:AG22">FLEXCOMPBIAXT($B$4,$B$5,$B$6,$B$15,$B$16,$B$17,$B$18,$B$11,$B$12,$B$13,$B$7,$B$8,AC22,AD22,$B$3,$B$14)</f>
        <v>-220.5487110208532</v>
      </c>
      <c r="AF22" s="23">
        <v>-84.845753360914514</v>
      </c>
      <c r="AG22" s="23">
        <v>-2091.2778258771805</v>
      </c>
      <c r="AI22" s="23">
        <v>190</v>
      </c>
      <c r="AJ22" s="23">
        <f t="shared" si="1"/>
        <v>24.091434645497991</v>
      </c>
      <c r="AK22" s="23">
        <f t="array" ref="AK22:AM22">FLEXCOMPBIAXT($B$4,$B$5,$B$6,$B$15,$B$16,$B$17,$B$18,$B$11,$B$12,$B$13,$B$7,$B$8,AI22,AJ22,$B$3,$B$14)</f>
        <v>-112.74666251664793</v>
      </c>
      <c r="AL22" s="23">
        <v>-455.2820215656385</v>
      </c>
      <c r="AM22" s="23">
        <v>-3133.4856426001279</v>
      </c>
      <c r="AO22" s="23">
        <v>-12.089310009261574</v>
      </c>
      <c r="AP22" s="23">
        <v>-2043.5989582844225</v>
      </c>
      <c r="AQ22" s="23">
        <v>-1013.5754855468704</v>
      </c>
      <c r="AR22" s="23">
        <f t="shared" si="3"/>
        <v>-2199.3188368765277</v>
      </c>
    </row>
    <row r="23" spans="1:44" x14ac:dyDescent="0.2">
      <c r="A23" s="24"/>
      <c r="B23" s="13"/>
      <c r="C23" s="13"/>
      <c r="D23" s="13"/>
      <c r="E23" s="13"/>
      <c r="F23" s="13"/>
      <c r="G23" s="13"/>
      <c r="H23" s="13"/>
      <c r="I23" s="24"/>
      <c r="J23" s="13"/>
      <c r="K23" s="13"/>
      <c r="L23" s="13"/>
      <c r="M23" s="13"/>
      <c r="N23" s="13"/>
      <c r="O23" s="13"/>
      <c r="P23" s="14"/>
      <c r="Q23" s="22">
        <v>-193.28602600097656</v>
      </c>
      <c r="R23" s="22">
        <v>1490.1380615234375</v>
      </c>
      <c r="S23" s="22">
        <v>9.4210004806518555</v>
      </c>
      <c r="T23" s="23" t="s">
        <v>196</v>
      </c>
      <c r="U23" s="23">
        <f t="shared" si="2"/>
        <v>1464.6179486645865</v>
      </c>
      <c r="Z23" s="3" t="s">
        <v>82</v>
      </c>
      <c r="AA23" s="19">
        <f ca="1">$AA$6*AA20</f>
        <v>693.09288735139194</v>
      </c>
      <c r="AC23" s="23">
        <v>200</v>
      </c>
      <c r="AD23" s="23">
        <f t="shared" si="0"/>
        <v>47.317579729870218</v>
      </c>
      <c r="AE23" s="23">
        <f t="array" ref="AE23:AG23">FLEXCOMPBIAXT($B$4,$B$5,$B$6,$B$15,$B$16,$B$17,$B$18,$B$11,$B$12,$B$13,$B$7,$B$8,AC23,AD23,$B$3,$B$14)</f>
        <v>-220.53696894435268</v>
      </c>
      <c r="AF23" s="23">
        <v>-182.2062939369481</v>
      </c>
      <c r="AG23" s="23">
        <v>-2008.0653901508208</v>
      </c>
      <c r="AI23" s="23">
        <v>200</v>
      </c>
      <c r="AJ23" s="23">
        <f t="shared" si="1"/>
        <v>29.263055226421585</v>
      </c>
      <c r="AK23" s="23">
        <f t="array" ref="AK23:AM23">FLEXCOMPBIAXT($B$4,$B$5,$B$6,$B$15,$B$16,$B$17,$B$18,$B$11,$B$12,$B$13,$B$7,$B$8,AI23,AJ23,$B$3,$B$14)</f>
        <v>-112.76011448074607</v>
      </c>
      <c r="AL23" s="23">
        <v>-767.44771229491323</v>
      </c>
      <c r="AM23" s="23">
        <v>-2681.7391086382104</v>
      </c>
      <c r="AO23" s="23">
        <v>-54.779548511194378</v>
      </c>
      <c r="AP23" s="23">
        <v>-1962.5208757797784</v>
      </c>
      <c r="AQ23" s="23">
        <v>-847.9617352405071</v>
      </c>
      <c r="AR23" s="23">
        <f t="shared" si="3"/>
        <v>-2088.1620652919432</v>
      </c>
    </row>
    <row r="24" spans="1:44" x14ac:dyDescent="0.2">
      <c r="A24" s="24"/>
      <c r="B24" s="13"/>
      <c r="C24" s="13"/>
      <c r="D24" s="13"/>
      <c r="E24" s="13"/>
      <c r="F24" s="13"/>
      <c r="G24" s="13"/>
      <c r="H24" s="13"/>
      <c r="I24" s="24"/>
      <c r="J24" s="13"/>
      <c r="K24" s="13"/>
      <c r="L24" s="13"/>
      <c r="M24" s="13"/>
      <c r="N24" s="13"/>
      <c r="O24" s="13"/>
      <c r="P24" s="14"/>
      <c r="Q24" s="22">
        <v>-192.93417358398438</v>
      </c>
      <c r="R24" s="22">
        <v>1488.8291015625</v>
      </c>
      <c r="S24" s="22">
        <v>5.1829361915588379</v>
      </c>
      <c r="T24" s="23" t="s">
        <v>199</v>
      </c>
      <c r="U24" s="23">
        <f t="shared" si="2"/>
        <v>1462.5252350622043</v>
      </c>
      <c r="Z24" s="3" t="s">
        <v>83</v>
      </c>
      <c r="AA24" s="19">
        <f ca="1">$AA$6*AA21</f>
        <v>1765.052604643764</v>
      </c>
      <c r="AC24" s="23">
        <v>210</v>
      </c>
      <c r="AD24" s="23">
        <f t="shared" si="0"/>
        <v>50.167911107210855</v>
      </c>
      <c r="AE24" s="23">
        <f t="array" ref="AE24:AG24">FLEXCOMPBIAXT($B$4,$B$5,$B$6,$B$15,$B$16,$B$17,$B$18,$B$11,$B$12,$B$13,$B$7,$B$8,AC24,AD24,$B$3,$B$14)</f>
        <v>-220.52190995413321</v>
      </c>
      <c r="AF24" s="23">
        <v>-337.64543981615134</v>
      </c>
      <c r="AG24" s="23">
        <v>-1862.5543535799738</v>
      </c>
      <c r="AI24" s="23">
        <v>210</v>
      </c>
      <c r="AJ24" s="23">
        <f t="shared" si="1"/>
        <v>33.983799098670104</v>
      </c>
      <c r="AK24" s="23">
        <f t="array" ref="AK24:AM24">FLEXCOMPBIAXT($B$4,$B$5,$B$6,$B$15,$B$16,$B$17,$B$18,$B$11,$B$12,$B$13,$B$7,$B$8,AI24,AJ24,$B$3,$B$14)</f>
        <v>-112.76995813565289</v>
      </c>
      <c r="AL24" s="23">
        <v>-922.92551944995603</v>
      </c>
      <c r="AM24" s="23">
        <v>-2284.0265322583177</v>
      </c>
      <c r="AO24" s="23">
        <v>-77.422175064034448</v>
      </c>
      <c r="AP24" s="23">
        <v>-1889.8903742692389</v>
      </c>
      <c r="AQ24" s="23">
        <v>-687.27622242063728</v>
      </c>
      <c r="AR24" s="23">
        <f t="shared" si="3"/>
        <v>-1986.2373130331716</v>
      </c>
    </row>
    <row r="25" spans="1:44" x14ac:dyDescent="0.2">
      <c r="A25" s="24"/>
      <c r="B25" s="13"/>
      <c r="C25" s="13"/>
      <c r="D25" s="13"/>
      <c r="E25" s="13"/>
      <c r="F25" s="13"/>
      <c r="G25" s="13"/>
      <c r="H25" s="13"/>
      <c r="I25" s="24"/>
      <c r="J25" s="13"/>
      <c r="K25" s="13"/>
      <c r="L25" s="13"/>
      <c r="M25" s="13"/>
      <c r="N25" s="13"/>
      <c r="O25" s="13"/>
      <c r="P25" s="14"/>
      <c r="Q25" s="22">
        <v>-193.12751770019531</v>
      </c>
      <c r="R25" s="22">
        <v>1487.79052734375</v>
      </c>
      <c r="S25" s="22">
        <v>5.6043000221252441</v>
      </c>
      <c r="T25" s="23" t="s">
        <v>136</v>
      </c>
      <c r="U25" s="23">
        <f t="shared" si="2"/>
        <v>1461.5860082027182</v>
      </c>
      <c r="AC25" s="23">
        <v>220</v>
      </c>
      <c r="AD25" s="23">
        <f t="shared" si="0"/>
        <v>51.683966563383578</v>
      </c>
      <c r="AE25" s="23">
        <f t="array" ref="AE25:AG25">FLEXCOMPBIAXT($B$4,$B$5,$B$6,$B$15,$B$16,$B$17,$B$18,$B$11,$B$12,$B$13,$B$7,$B$8,AC25,AD25,$B$3,$B$14)</f>
        <v>-220.54265636961733</v>
      </c>
      <c r="AF25" s="23">
        <v>-525.19143307298634</v>
      </c>
      <c r="AG25" s="23">
        <v>-1679.9694245131438</v>
      </c>
      <c r="AI25" s="23">
        <v>220</v>
      </c>
      <c r="AJ25" s="23">
        <f t="shared" si="1"/>
        <v>37.020787516869916</v>
      </c>
      <c r="AK25" s="23">
        <f t="array" ref="AK25:AM25">FLEXCOMPBIAXT($B$4,$B$5,$B$6,$B$15,$B$16,$B$17,$B$18,$B$11,$B$12,$B$13,$B$7,$B$8,AI25,AJ25,$B$3,$B$14)</f>
        <v>-112.77878002561557</v>
      </c>
      <c r="AL25" s="23">
        <v>-1106.1554307130348</v>
      </c>
      <c r="AM25" s="23">
        <v>-1948.6609605362808</v>
      </c>
      <c r="AO25" s="23">
        <v>-109.54091060462486</v>
      </c>
      <c r="AP25" s="23">
        <v>-1855.3354912456132</v>
      </c>
      <c r="AQ25" s="23">
        <v>-584.21794621608672</v>
      </c>
      <c r="AR25" s="23">
        <f t="shared" si="3"/>
        <v>-1932.673601413079</v>
      </c>
    </row>
    <row r="26" spans="1:44" x14ac:dyDescent="0.2">
      <c r="A26" s="24"/>
      <c r="B26" s="13"/>
      <c r="C26" s="13"/>
      <c r="D26" s="13"/>
      <c r="E26" s="13"/>
      <c r="F26" s="13"/>
      <c r="G26" s="13"/>
      <c r="H26" s="13"/>
      <c r="I26" s="24"/>
      <c r="J26" s="13"/>
      <c r="K26" s="13"/>
      <c r="L26" s="13"/>
      <c r="M26" s="13"/>
      <c r="N26" s="13"/>
      <c r="O26" s="13"/>
      <c r="P26" s="14"/>
      <c r="Q26" s="22">
        <v>-193.22996520996094</v>
      </c>
      <c r="R26" s="22">
        <v>1487.433349609375</v>
      </c>
      <c r="S26" s="22">
        <v>12.763696670532227</v>
      </c>
      <c r="T26" s="23" t="s">
        <v>139</v>
      </c>
      <c r="U26" s="23">
        <f t="shared" si="2"/>
        <v>1462.5999134647755</v>
      </c>
      <c r="AC26" s="23">
        <v>230</v>
      </c>
      <c r="AD26" s="23">
        <f t="shared" si="0"/>
        <v>51.778497522025965</v>
      </c>
      <c r="AE26" s="23">
        <f t="array" ref="AE26:AG26">FLEXCOMPBIAXT($B$4,$B$5,$B$6,$B$15,$B$16,$B$17,$B$18,$B$11,$B$12,$B$13,$B$7,$B$8,AC26,AD26,$B$3,$B$14)</f>
        <v>-220.53042316417498</v>
      </c>
      <c r="AF26" s="23">
        <v>-763.64113613316158</v>
      </c>
      <c r="AG26" s="23">
        <v>-1404.3347596840642</v>
      </c>
      <c r="AI26" s="23">
        <v>230</v>
      </c>
      <c r="AJ26" s="23">
        <f t="shared" si="1"/>
        <v>38.197091978055795</v>
      </c>
      <c r="AK26" s="23">
        <f t="array" ref="AK26:AM26">FLEXCOMPBIAXT($B$4,$B$5,$B$6,$B$15,$B$16,$B$17,$B$18,$B$11,$B$12,$B$13,$B$7,$B$8,AI26,AJ26,$B$3,$B$14)</f>
        <v>-112.78325131719424</v>
      </c>
      <c r="AL26" s="23">
        <v>-1309.864279868606</v>
      </c>
      <c r="AM26" s="23">
        <v>-1654.7654980683933</v>
      </c>
      <c r="AO26" s="23">
        <v>-146.44331458063269</v>
      </c>
      <c r="AP26" s="23">
        <v>-1772.4392071217151</v>
      </c>
      <c r="AQ26" s="23">
        <v>-450.08929764988079</v>
      </c>
      <c r="AR26" s="23">
        <f t="shared" si="3"/>
        <v>-1825.7328182625822</v>
      </c>
    </row>
    <row r="27" spans="1:44" x14ac:dyDescent="0.2">
      <c r="A27" s="24"/>
      <c r="B27" s="13"/>
      <c r="C27" s="13"/>
      <c r="D27" s="13"/>
      <c r="E27" s="13"/>
      <c r="F27" s="13"/>
      <c r="G27" s="13"/>
      <c r="H27" s="13"/>
      <c r="I27" s="24"/>
      <c r="J27" s="13"/>
      <c r="K27" s="13"/>
      <c r="L27" s="13"/>
      <c r="M27" s="13"/>
      <c r="N27" s="13"/>
      <c r="O27" s="13"/>
      <c r="P27" s="14"/>
      <c r="Q27" s="22">
        <v>-192.92535400390625</v>
      </c>
      <c r="R27" s="22">
        <v>1486.22900390625</v>
      </c>
      <c r="S27" s="22">
        <v>5.4095206260681152</v>
      </c>
      <c r="T27" s="23" t="s">
        <v>200</v>
      </c>
      <c r="U27" s="23">
        <f t="shared" si="2"/>
        <v>1460.0159853080406</v>
      </c>
      <c r="AC27" s="23">
        <v>240</v>
      </c>
      <c r="AD27" s="23">
        <f t="shared" si="0"/>
        <v>50.713614130429086</v>
      </c>
      <c r="AE27" s="23">
        <f t="array" ref="AE27:AG27">FLEXCOMPBIAXT($B$4,$B$5,$B$6,$B$15,$B$16,$B$17,$B$18,$B$11,$B$12,$B$13,$B$7,$B$8,AC27,AD27,$B$3,$B$14)</f>
        <v>-220.54223638255553</v>
      </c>
      <c r="AF27" s="23">
        <v>-1031.0812991621792</v>
      </c>
      <c r="AG27" s="23">
        <v>-986.9582472071022</v>
      </c>
      <c r="AI27" s="23">
        <v>240</v>
      </c>
      <c r="AJ27" s="23">
        <f t="shared" si="1"/>
        <v>37.738469834819178</v>
      </c>
      <c r="AK27" s="23">
        <f t="array" ref="AK27:AM27">FLEXCOMPBIAXT($B$4,$B$5,$B$6,$B$15,$B$16,$B$17,$B$18,$B$11,$B$12,$B$13,$B$7,$B$8,AI27,AJ27,$B$3,$B$14)</f>
        <v>-112.77689655562293</v>
      </c>
      <c r="AL27" s="23">
        <v>-1489.9344879872156</v>
      </c>
      <c r="AM27" s="23">
        <v>-1360.3470649967999</v>
      </c>
      <c r="AO27" s="23">
        <v>-189.29430829118721</v>
      </c>
      <c r="AP27" s="23">
        <v>-1585.5862345197274</v>
      </c>
      <c r="AQ27" s="23">
        <v>-279.32119470511429</v>
      </c>
      <c r="AR27" s="23">
        <f t="shared" si="3"/>
        <v>-1609.7577274040846</v>
      </c>
    </row>
    <row r="28" spans="1:44" x14ac:dyDescent="0.2">
      <c r="A28" s="24"/>
      <c r="B28" s="13"/>
      <c r="C28" s="13"/>
      <c r="D28" s="13"/>
      <c r="E28" s="13"/>
      <c r="F28" s="13"/>
      <c r="G28" s="13"/>
      <c r="H28" s="13"/>
      <c r="I28" s="24"/>
      <c r="J28" s="13"/>
      <c r="K28" s="13"/>
      <c r="L28" s="13"/>
      <c r="M28" s="13"/>
      <c r="N28" s="13"/>
      <c r="O28" s="13"/>
      <c r="P28" s="14"/>
      <c r="Q28" s="22">
        <v>-193.08421325683594</v>
      </c>
      <c r="R28" s="22">
        <v>1485.0576171875</v>
      </c>
      <c r="S28" s="22">
        <v>3.8880734443664551</v>
      </c>
      <c r="T28" s="23" t="s">
        <v>137</v>
      </c>
      <c r="U28" s="23">
        <f t="shared" si="2"/>
        <v>1458.5760930797619</v>
      </c>
      <c r="AC28" s="23">
        <v>250</v>
      </c>
      <c r="AD28" s="23">
        <f t="shared" si="0"/>
        <v>48.44833758191831</v>
      </c>
      <c r="AE28" s="23">
        <f t="array" ref="AE28:AG28">FLEXCOMPBIAXT($B$4,$B$5,$B$6,$B$15,$B$16,$B$17,$B$18,$B$11,$B$12,$B$13,$B$7,$B$8,AC28,AD28,$B$3,$B$14)</f>
        <v>-220.54858839340972</v>
      </c>
      <c r="AF28" s="23">
        <v>-1239.1654475016232</v>
      </c>
      <c r="AG28" s="23">
        <v>-540.01524696461024</v>
      </c>
      <c r="AI28" s="23">
        <v>250</v>
      </c>
      <c r="AJ28" s="23">
        <f t="shared" si="1"/>
        <v>35.539062666784531</v>
      </c>
      <c r="AK28" s="23">
        <f t="array" ref="AK28:AM28">FLEXCOMPBIAXT($B$4,$B$5,$B$6,$B$15,$B$16,$B$17,$B$18,$B$11,$B$12,$B$13,$B$7,$B$8,AI28,AJ28,$B$3,$B$14)</f>
        <v>-112.78098513658851</v>
      </c>
      <c r="AL28" s="23">
        <v>-1678.9170004646116</v>
      </c>
      <c r="AM28" s="23">
        <v>-1000.5568591733099</v>
      </c>
      <c r="AO28" s="23">
        <v>-241.25043809833971</v>
      </c>
      <c r="AP28" s="23">
        <v>-1175.8531541226364</v>
      </c>
      <c r="AQ28" s="23">
        <v>-73.225938715459506</v>
      </c>
      <c r="AR28" s="23">
        <f t="shared" si="3"/>
        <v>-1168.2550090307641</v>
      </c>
    </row>
    <row r="29" spans="1:44" x14ac:dyDescent="0.2">
      <c r="A29" s="24"/>
      <c r="B29" s="13"/>
      <c r="C29" s="13"/>
      <c r="D29" s="13"/>
      <c r="E29" s="13"/>
      <c r="F29" s="13"/>
      <c r="G29" s="13"/>
      <c r="H29" s="13"/>
      <c r="I29" s="24"/>
      <c r="J29" s="13"/>
      <c r="K29" s="13"/>
      <c r="L29" s="13"/>
      <c r="M29" s="13"/>
      <c r="N29" s="13"/>
      <c r="O29" s="13"/>
      <c r="P29" s="14"/>
      <c r="Q29" s="22">
        <v>-193.27755737304688</v>
      </c>
      <c r="R29" s="22">
        <v>1484.0189208984375</v>
      </c>
      <c r="S29" s="22">
        <v>4.3094367980957031</v>
      </c>
      <c r="T29" s="23" t="s">
        <v>195</v>
      </c>
      <c r="U29" s="23">
        <f t="shared" si="2"/>
        <v>1457.6367462967498</v>
      </c>
      <c r="AC29" s="23">
        <v>260</v>
      </c>
      <c r="AD29" s="23">
        <f t="shared" si="0"/>
        <v>44.742624317172584</v>
      </c>
      <c r="AE29" s="23">
        <f t="array" ref="AE29:AG29">FLEXCOMPBIAXT($B$4,$B$5,$B$6,$B$15,$B$16,$B$17,$B$18,$B$11,$B$12,$B$13,$B$7,$B$8,AC29,AD29,$B$3,$B$14)</f>
        <v>-220.51877265574339</v>
      </c>
      <c r="AF29" s="23">
        <v>-1378.5249664254593</v>
      </c>
      <c r="AG29" s="23">
        <v>-111.62727979082581</v>
      </c>
      <c r="AI29" s="23">
        <v>260</v>
      </c>
      <c r="AJ29" s="23">
        <f t="shared" si="1"/>
        <v>31.92444498332825</v>
      </c>
      <c r="AK29" s="23">
        <f t="array" ref="AK29:AM29">FLEXCOMPBIAXT($B$4,$B$5,$B$6,$B$15,$B$16,$B$17,$B$18,$B$11,$B$12,$B$13,$B$7,$B$8,AI29,AJ29,$B$3,$B$14)</f>
        <v>-112.764446857804</v>
      </c>
      <c r="AL29" s="23">
        <v>-1867.437761078321</v>
      </c>
      <c r="AM29" s="23">
        <v>-524.05553954054506</v>
      </c>
      <c r="AO29" s="23">
        <v>-264.4756192782242</v>
      </c>
      <c r="AP29" s="23">
        <v>-785.64160832956452</v>
      </c>
      <c r="AQ29" s="23">
        <v>42.86917701182486</v>
      </c>
      <c r="AR29" s="23">
        <f t="shared" si="3"/>
        <v>-763.0694320539202</v>
      </c>
    </row>
    <row r="30" spans="1:44" x14ac:dyDescent="0.2">
      <c r="A30" s="24"/>
      <c r="B30" s="13"/>
      <c r="C30" s="13"/>
      <c r="D30" s="13"/>
      <c r="E30" s="13"/>
      <c r="F30" s="13"/>
      <c r="G30" s="13"/>
      <c r="H30" s="13"/>
      <c r="I30" s="24"/>
      <c r="J30" s="13"/>
      <c r="K30" s="13"/>
      <c r="L30" s="13"/>
      <c r="M30" s="13"/>
      <c r="N30" s="13"/>
      <c r="O30" s="13"/>
      <c r="P30" s="14"/>
      <c r="Q30" s="22">
        <v>-193.18312072753906</v>
      </c>
      <c r="R30" s="22">
        <v>1482.6181640625</v>
      </c>
      <c r="S30" s="22">
        <v>4.7538132667541504</v>
      </c>
      <c r="T30" s="23" t="s">
        <v>197</v>
      </c>
      <c r="U30" s="23">
        <f t="shared" si="2"/>
        <v>1456.3463620463619</v>
      </c>
      <c r="AC30" s="23">
        <v>270</v>
      </c>
      <c r="AD30" s="23">
        <f t="shared" si="0"/>
        <v>39.769744873046875</v>
      </c>
      <c r="AE30" s="23">
        <f t="array" ref="AE30:AG30">FLEXCOMPBIAXT($B$4,$B$5,$B$6,$B$15,$B$16,$B$17,$B$18,$B$11,$B$12,$B$13,$B$7,$B$8,AC30,AD30,$B$3,$B$14)</f>
        <v>-220.55474394430254</v>
      </c>
      <c r="AF30" s="23">
        <v>-1472.7762802474776</v>
      </c>
      <c r="AG30" s="23">
        <v>314.92363015728273</v>
      </c>
      <c r="AI30" s="23">
        <v>270</v>
      </c>
      <c r="AJ30" s="23">
        <f t="shared" si="1"/>
        <v>27.419281005859375</v>
      </c>
      <c r="AK30" s="23">
        <f t="array" ref="AK30:AM30">FLEXCOMPBIAXT($B$4,$B$5,$B$6,$B$15,$B$16,$B$17,$B$18,$B$11,$B$12,$B$13,$B$7,$B$8,AI30,AJ30,$B$3,$B$14)</f>
        <v>-112.76694650343535</v>
      </c>
      <c r="AL30" s="23">
        <v>-2027.8557513104831</v>
      </c>
      <c r="AM30" s="23">
        <v>-3.668759555513009</v>
      </c>
      <c r="AO30" s="27">
        <v>-264.4756192782242</v>
      </c>
      <c r="AP30" s="27">
        <v>6.8732123764528056E-15</v>
      </c>
      <c r="AQ30" s="27">
        <v>-1.6760820033641459E-14</v>
      </c>
      <c r="AR30" s="27">
        <f t="shared" si="3"/>
        <v>3.5527136788005151E-15</v>
      </c>
    </row>
    <row r="31" spans="1:44" x14ac:dyDescent="0.2">
      <c r="A31" s="24"/>
      <c r="B31" s="13"/>
      <c r="C31" s="13"/>
      <c r="D31" s="13"/>
      <c r="E31" s="13"/>
      <c r="F31" s="13"/>
      <c r="G31" s="13"/>
      <c r="H31" s="13"/>
      <c r="I31" s="24"/>
      <c r="J31" s="13"/>
      <c r="K31" s="13"/>
      <c r="L31" s="13"/>
      <c r="M31" s="13"/>
      <c r="N31" s="13"/>
      <c r="O31" s="13"/>
      <c r="P31" s="14"/>
      <c r="Q31" s="22">
        <v>-193.10670471191406</v>
      </c>
      <c r="R31" s="22">
        <v>1477.9271240234375</v>
      </c>
      <c r="S31" s="22">
        <v>-8.1433172225952148</v>
      </c>
      <c r="T31" s="23" t="s">
        <v>138</v>
      </c>
      <c r="U31" s="23">
        <f t="shared" si="2"/>
        <v>1449.2832021398619</v>
      </c>
      <c r="AC31" s="23">
        <v>280</v>
      </c>
      <c r="AD31" s="23">
        <f t="shared" si="0"/>
        <v>38.875596960388123</v>
      </c>
      <c r="AE31" s="23">
        <f t="array" ref="AE31:AG31">FLEXCOMPBIAXT($B$4,$B$5,$B$6,$B$15,$B$16,$B$17,$B$18,$B$11,$B$12,$B$13,$B$7,$B$8,AC31,AD31,$B$3,$B$14)</f>
        <v>-220.53237586181638</v>
      </c>
      <c r="AF31" s="23">
        <v>-1475.904274173764</v>
      </c>
      <c r="AG31" s="23">
        <v>735.5089616038166</v>
      </c>
      <c r="AI31" s="23">
        <v>280</v>
      </c>
      <c r="AJ31" s="23">
        <f t="shared" si="1"/>
        <v>25.73855744410983</v>
      </c>
      <c r="AK31" s="23">
        <f t="array" ref="AK31:AM31">FLEXCOMPBIAXT($B$4,$B$5,$B$6,$B$15,$B$16,$B$17,$B$18,$B$11,$B$12,$B$13,$B$7,$B$8,AI31,AJ31,$B$3,$B$14)</f>
        <v>-112.77012394002078</v>
      </c>
      <c r="AL31" s="23">
        <v>-2165.463820567441</v>
      </c>
      <c r="AM31" s="23">
        <v>481.16816835644619</v>
      </c>
    </row>
    <row r="32" spans="1:44" x14ac:dyDescent="0.2">
      <c r="A32" s="24"/>
      <c r="B32" s="13"/>
      <c r="C32" s="13"/>
      <c r="D32" s="13"/>
      <c r="E32" s="13"/>
      <c r="F32" s="13"/>
      <c r="G32" s="13"/>
      <c r="H32" s="13"/>
      <c r="I32" s="24"/>
      <c r="J32" s="13"/>
      <c r="K32" s="13"/>
      <c r="L32" s="13"/>
      <c r="M32" s="13"/>
      <c r="N32" s="13"/>
      <c r="O32" s="13"/>
      <c r="P32" s="14"/>
      <c r="Q32" s="22">
        <v>-201.91981506347656</v>
      </c>
      <c r="R32" s="22">
        <v>1310.0308837890625</v>
      </c>
      <c r="S32" s="22">
        <v>13.056838989257813</v>
      </c>
      <c r="T32" s="23" t="s">
        <v>190</v>
      </c>
      <c r="U32" s="23">
        <f t="shared" si="2"/>
        <v>1288.5052803318495</v>
      </c>
      <c r="AC32" s="23">
        <v>290</v>
      </c>
      <c r="AD32" s="23">
        <f t="shared" si="0"/>
        <v>38.08634377449701</v>
      </c>
      <c r="AE32" s="23">
        <f t="array" ref="AE32:AG32">FLEXCOMPBIAXT($B$4,$B$5,$B$6,$B$15,$B$16,$B$17,$B$18,$B$11,$B$12,$B$13,$B$7,$B$8,AC32,AD32,$B$3,$B$14)</f>
        <v>-220.54236123071382</v>
      </c>
      <c r="AF32" s="23">
        <v>-1449.5392219524724</v>
      </c>
      <c r="AG32" s="23">
        <v>963.3944792211671</v>
      </c>
      <c r="AI32" s="23">
        <v>290</v>
      </c>
      <c r="AJ32" s="23">
        <f t="shared" si="1"/>
        <v>23.377193585650222</v>
      </c>
      <c r="AK32" s="23">
        <f t="array" ref="AK32:AM32">FLEXCOMPBIAXT($B$4,$B$5,$B$6,$B$15,$B$16,$B$17,$B$18,$B$11,$B$12,$B$13,$B$7,$B$8,AI32,AJ32,$B$3,$B$14)</f>
        <v>-112.76667806829411</v>
      </c>
      <c r="AL32" s="23">
        <v>-2216.5580689125022</v>
      </c>
      <c r="AM32" s="23">
        <v>1139.3416491919245</v>
      </c>
    </row>
    <row r="33" spans="1:45" x14ac:dyDescent="0.2">
      <c r="A33" s="24"/>
      <c r="B33" s="13"/>
      <c r="C33" s="13"/>
      <c r="D33" s="13"/>
      <c r="E33" s="13"/>
      <c r="F33" s="13"/>
      <c r="G33" s="13"/>
      <c r="H33" s="13"/>
      <c r="I33" s="24"/>
      <c r="J33" s="13"/>
      <c r="K33" s="13"/>
      <c r="L33" s="13"/>
      <c r="M33" s="13"/>
      <c r="N33" s="13"/>
      <c r="O33" s="13"/>
      <c r="P33" s="14"/>
      <c r="Q33" s="22">
        <v>-112.908203125</v>
      </c>
      <c r="R33" s="22">
        <v>1177.1680908203125</v>
      </c>
      <c r="S33" s="22">
        <v>739.99456787109375</v>
      </c>
      <c r="T33" s="23" t="s">
        <v>207</v>
      </c>
      <c r="U33" s="23">
        <f t="shared" si="2"/>
        <v>1296.6277119552099</v>
      </c>
      <c r="AC33" s="23">
        <v>300</v>
      </c>
      <c r="AD33" s="23">
        <f t="shared" si="0"/>
        <v>42.098294028942846</v>
      </c>
      <c r="AE33" s="23">
        <f t="array" ref="AE33:AG33">FLEXCOMPBIAXT($B$4,$B$5,$B$6,$B$15,$B$16,$B$17,$B$18,$B$11,$B$12,$B$13,$B$7,$B$8,AC33,AD33,$B$3,$B$14)</f>
        <v>-220.53739973065802</v>
      </c>
      <c r="AF33" s="23">
        <v>-1346.1026748025711</v>
      </c>
      <c r="AG33" s="23">
        <v>1109.9682344811297</v>
      </c>
      <c r="AI33" s="23">
        <v>300</v>
      </c>
      <c r="AJ33" s="23">
        <f t="shared" si="1"/>
        <v>26.553379301532068</v>
      </c>
      <c r="AK33" s="23">
        <f t="array" ref="AK33:AM33">FLEXCOMPBIAXT($B$4,$B$5,$B$6,$B$15,$B$16,$B$17,$B$18,$B$11,$B$12,$B$13,$B$7,$B$8,AI33,AJ33,$B$3,$B$14)</f>
        <v>-112.78471765735578</v>
      </c>
      <c r="AL33" s="23">
        <v>-1837.3690021653913</v>
      </c>
      <c r="AM33" s="23">
        <v>1682.0037620365511</v>
      </c>
    </row>
    <row r="34" spans="1:45" x14ac:dyDescent="0.2">
      <c r="A34" s="24"/>
      <c r="B34" s="13"/>
      <c r="C34" s="13"/>
      <c r="D34" s="13"/>
      <c r="E34" s="13"/>
      <c r="F34" s="13"/>
      <c r="G34" s="13"/>
      <c r="H34" s="13"/>
      <c r="I34" s="24"/>
      <c r="J34" s="13"/>
      <c r="K34" s="13"/>
      <c r="L34" s="13"/>
      <c r="M34" s="13"/>
      <c r="N34" s="13"/>
      <c r="O34" s="13"/>
      <c r="P34" s="14"/>
      <c r="Q34" s="22">
        <v>-192.73565673828125</v>
      </c>
      <c r="R34" s="22">
        <v>1087.398193359375</v>
      </c>
      <c r="S34" s="22">
        <v>-715.2679443359375</v>
      </c>
      <c r="T34" s="23" t="s">
        <v>193</v>
      </c>
      <c r="U34" s="23">
        <f t="shared" si="2"/>
        <v>931.13958326882494</v>
      </c>
      <c r="AC34" s="23">
        <v>310</v>
      </c>
      <c r="AD34" s="23">
        <f t="shared" si="0"/>
        <v>47.14380621328452</v>
      </c>
      <c r="AE34" s="23">
        <f t="array" ref="AE34:AG34">FLEXCOMPBIAXT($B$4,$B$5,$B$6,$B$15,$B$16,$B$17,$B$18,$B$11,$B$12,$B$13,$B$7,$B$8,AC34,AD34,$B$3,$B$14)</f>
        <v>-220.53498876873897</v>
      </c>
      <c r="AF34" s="23">
        <v>-1221.7728078230527</v>
      </c>
      <c r="AG34" s="23">
        <v>1216.3627652618495</v>
      </c>
      <c r="AI34" s="23">
        <v>310</v>
      </c>
      <c r="AJ34" s="23">
        <f t="shared" si="1"/>
        <v>31.268521806380292</v>
      </c>
      <c r="AK34" s="23">
        <f t="array" ref="AK34:AM34">FLEXCOMPBIAXT($B$4,$B$5,$B$6,$B$15,$B$16,$B$17,$B$18,$B$11,$B$12,$B$13,$B$7,$B$8,AI34,AJ34,$B$3,$B$14)</f>
        <v>-112.7573490282479</v>
      </c>
      <c r="AL34" s="23">
        <v>-1364.8834814638824</v>
      </c>
      <c r="AM34" s="23">
        <v>1984.9488248838957</v>
      </c>
    </row>
    <row r="35" spans="1:45" x14ac:dyDescent="0.2">
      <c r="A35" s="24"/>
      <c r="B35" s="13"/>
      <c r="C35" s="13"/>
      <c r="D35" s="13"/>
      <c r="E35" s="13"/>
      <c r="F35" s="13"/>
      <c r="G35" s="13"/>
      <c r="H35" s="13"/>
      <c r="I35" s="24"/>
      <c r="J35" s="13"/>
      <c r="K35" s="13"/>
      <c r="L35" s="13"/>
      <c r="M35" s="13"/>
      <c r="N35" s="13"/>
      <c r="O35" s="13"/>
      <c r="P35" s="14"/>
      <c r="Q35" s="22">
        <v>-175.0601806640625</v>
      </c>
      <c r="R35" s="22">
        <v>1199.4664306640625</v>
      </c>
      <c r="S35" s="22">
        <v>14.428714752197266</v>
      </c>
      <c r="T35" s="23" t="s">
        <v>38</v>
      </c>
      <c r="U35" s="23">
        <f t="shared" si="2"/>
        <v>1180.2290531564124</v>
      </c>
      <c r="AC35" s="23">
        <v>320</v>
      </c>
      <c r="AD35" s="23">
        <f t="shared" si="0"/>
        <v>50.950201193396737</v>
      </c>
      <c r="AE35" s="23">
        <f t="array" ref="AE35:AG35">FLEXCOMPBIAXT($B$4,$B$5,$B$6,$B$15,$B$16,$B$17,$B$18,$B$11,$B$12,$B$13,$B$7,$B$8,AC35,AD35,$B$3,$B$14)</f>
        <v>-220.52182350778116</v>
      </c>
      <c r="AF35" s="23">
        <v>-1070.4169796461729</v>
      </c>
      <c r="AG35" s="23">
        <v>1316.8168790801601</v>
      </c>
      <c r="AI35" s="23">
        <v>320</v>
      </c>
      <c r="AJ35" s="23">
        <f t="shared" si="1"/>
        <v>35.553256776896248</v>
      </c>
      <c r="AK35" s="23">
        <f t="array" ref="AK35:AM35">FLEXCOMPBIAXT($B$4,$B$5,$B$6,$B$15,$B$16,$B$17,$B$18,$B$11,$B$12,$B$13,$B$7,$B$8,AI35,AJ35,$B$3,$B$14)</f>
        <v>-112.77472462229733</v>
      </c>
      <c r="AL35" s="23">
        <v>-995.93620263853734</v>
      </c>
      <c r="AM35" s="23">
        <v>2103.0524717161275</v>
      </c>
    </row>
    <row r="36" spans="1:45" x14ac:dyDescent="0.2">
      <c r="A36" s="24"/>
      <c r="B36" s="13"/>
      <c r="C36" s="13"/>
      <c r="D36" s="13"/>
      <c r="E36" s="13"/>
      <c r="F36" s="13"/>
      <c r="G36" s="13"/>
      <c r="H36" s="13"/>
      <c r="I36" s="24"/>
      <c r="J36" s="13"/>
      <c r="K36" s="13"/>
      <c r="L36" s="13"/>
      <c r="M36" s="13"/>
      <c r="N36" s="13"/>
      <c r="O36" s="13"/>
      <c r="P36" s="14"/>
      <c r="Q36" s="22">
        <v>-194.33576965332031</v>
      </c>
      <c r="R36" s="22">
        <v>-0.28983169794082642</v>
      </c>
      <c r="S36" s="22">
        <v>-1137.40185546875</v>
      </c>
      <c r="T36" s="23" t="s">
        <v>193</v>
      </c>
      <c r="U36" s="23">
        <f t="shared" si="2"/>
        <v>-217.06609604352312</v>
      </c>
      <c r="AC36" s="23">
        <v>330</v>
      </c>
      <c r="AD36" s="23">
        <f t="shared" si="0"/>
        <v>53.243074710786388</v>
      </c>
      <c r="AE36" s="23">
        <f t="array" ref="AE36:AG36">FLEXCOMPBIAXT($B$4,$B$5,$B$6,$B$15,$B$16,$B$17,$B$18,$B$11,$B$12,$B$13,$B$7,$B$8,AC36,AD36,$B$3,$B$14)</f>
        <v>-220.53087299686203</v>
      </c>
      <c r="AF36" s="23">
        <v>-872.17486762176111</v>
      </c>
      <c r="AG36" s="23">
        <v>1411.3757042137813</v>
      </c>
      <c r="AI36" s="23">
        <v>330</v>
      </c>
      <c r="AJ36" s="23">
        <f t="shared" si="1"/>
        <v>37.855101896056681</v>
      </c>
      <c r="AK36" s="23">
        <f t="array" ref="AK36:AM36">FLEXCOMPBIAXT($B$4,$B$5,$B$6,$B$15,$B$16,$B$17,$B$18,$B$11,$B$12,$B$13,$B$7,$B$8,AI36,AJ36,$B$3,$B$14)</f>
        <v>-112.76566583350025</v>
      </c>
      <c r="AL36" s="23">
        <v>-717.10565180746801</v>
      </c>
      <c r="AM36" s="23">
        <v>2246.9988776202185</v>
      </c>
    </row>
    <row r="37" spans="1:45" x14ac:dyDescent="0.2">
      <c r="A37" s="24"/>
      <c r="B37" s="13"/>
      <c r="C37" s="13"/>
      <c r="D37" s="13"/>
      <c r="E37" s="13"/>
      <c r="F37" s="13"/>
      <c r="G37" s="13"/>
      <c r="H37" s="13"/>
      <c r="I37" s="24"/>
      <c r="J37" s="13"/>
      <c r="K37" s="13"/>
      <c r="L37" s="13"/>
      <c r="M37" s="13"/>
      <c r="N37" s="13"/>
      <c r="O37" s="13"/>
      <c r="P37" s="14"/>
      <c r="Q37" s="22">
        <v>-113.36925506591797</v>
      </c>
      <c r="R37" s="22">
        <v>336.78948974609375</v>
      </c>
      <c r="S37" s="22">
        <v>-1142.3924560546875</v>
      </c>
      <c r="T37" s="23" t="s">
        <v>194</v>
      </c>
      <c r="U37" s="23">
        <f t="shared" si="2"/>
        <v>112.8830532125582</v>
      </c>
      <c r="AC37" s="23">
        <v>340</v>
      </c>
      <c r="AD37" s="23">
        <f t="shared" si="0"/>
        <v>54.475605146350361</v>
      </c>
      <c r="AE37" s="23">
        <f t="array" ref="AE37:AG37">FLEXCOMPBIAXT($B$4,$B$5,$B$6,$B$15,$B$16,$B$17,$B$18,$B$11,$B$12,$B$13,$B$7,$B$8,AC37,AD37,$B$3,$B$14)</f>
        <v>-220.54651840048928</v>
      </c>
      <c r="AF37" s="23">
        <v>-589.09514137776614</v>
      </c>
      <c r="AG37" s="23">
        <v>1522.8861910088806</v>
      </c>
      <c r="AI37" s="23">
        <v>340</v>
      </c>
      <c r="AJ37" s="23">
        <f t="shared" si="1"/>
        <v>39.084669308605122</v>
      </c>
      <c r="AK37" s="23">
        <f t="array" ref="AK37:AM37">FLEXCOMPBIAXT($B$4,$B$5,$B$6,$B$15,$B$16,$B$17,$B$18,$B$11,$B$12,$B$13,$B$7,$B$8,AI37,AJ37,$B$3,$B$14)</f>
        <v>-112.78826360070526</v>
      </c>
      <c r="AL37" s="23">
        <v>-480.14264994965311</v>
      </c>
      <c r="AM37" s="23">
        <v>2326.6372561369371</v>
      </c>
    </row>
    <row r="38" spans="1:45" x14ac:dyDescent="0.2">
      <c r="A38" s="24"/>
      <c r="B38" s="13"/>
      <c r="C38" s="13"/>
      <c r="D38" s="13"/>
      <c r="E38" s="13"/>
      <c r="F38" s="13"/>
      <c r="G38" s="13"/>
      <c r="H38" s="13"/>
      <c r="I38" s="24"/>
      <c r="J38" s="13"/>
      <c r="K38" s="13"/>
      <c r="L38" s="13"/>
      <c r="M38" s="13"/>
      <c r="N38" s="13"/>
      <c r="O38" s="13"/>
      <c r="P38" s="14"/>
      <c r="Q38" s="22">
        <v>-193.53570556640625</v>
      </c>
      <c r="R38" s="22">
        <v>544.88232421875</v>
      </c>
      <c r="S38" s="22">
        <v>-933.41748046875</v>
      </c>
      <c r="T38" s="23" t="s">
        <v>193</v>
      </c>
      <c r="U38" s="23">
        <f t="shared" si="2"/>
        <v>356.99064590702119</v>
      </c>
      <c r="AC38" s="23">
        <v>350</v>
      </c>
      <c r="AD38" s="23">
        <f t="shared" si="0"/>
        <v>54.205496490910058</v>
      </c>
      <c r="AE38" s="23">
        <f t="array" ref="AE38:AG38">FLEXCOMPBIAXT($B$4,$B$5,$B$6,$B$15,$B$16,$B$17,$B$18,$B$11,$B$12,$B$13,$B$7,$B$8,AC38,AD38,$B$3,$B$14)</f>
        <v>-220.52569044386684</v>
      </c>
      <c r="AF38" s="23">
        <v>-292.95721554214856</v>
      </c>
      <c r="AG38" s="23">
        <v>1600.3777173132546</v>
      </c>
      <c r="AI38" s="23">
        <v>350</v>
      </c>
      <c r="AJ38" s="23">
        <f t="shared" si="1"/>
        <v>39.173463405928494</v>
      </c>
      <c r="AK38" s="23">
        <f t="array" ref="AK38:AM38">FLEXCOMPBIAXT($B$4,$B$5,$B$6,$B$15,$B$16,$B$17,$B$18,$B$11,$B$12,$B$13,$B$7,$B$8,AI38,AJ38,$B$3,$B$14)</f>
        <v>-112.75754640902355</v>
      </c>
      <c r="AL38" s="23">
        <v>-266.7735650107669</v>
      </c>
      <c r="AM38" s="23">
        <v>2362.2201891729878</v>
      </c>
    </row>
    <row r="39" spans="1:45" x14ac:dyDescent="0.2">
      <c r="A39" s="24"/>
      <c r="B39" s="13"/>
      <c r="C39" s="13"/>
      <c r="D39" s="13"/>
      <c r="E39" s="13"/>
      <c r="F39" s="13"/>
      <c r="G39" s="13"/>
      <c r="H39" s="13"/>
      <c r="I39" s="24"/>
      <c r="J39" s="13"/>
      <c r="K39" s="13"/>
      <c r="L39" s="13"/>
      <c r="M39" s="13"/>
      <c r="N39" s="13"/>
      <c r="O39" s="13"/>
      <c r="P39" s="14"/>
      <c r="Q39" s="22">
        <v>-194.27473449707031</v>
      </c>
      <c r="R39" s="22">
        <v>251.18789672851563</v>
      </c>
      <c r="S39" s="22">
        <v>960.7196044921875</v>
      </c>
      <c r="T39" s="23" t="s">
        <v>192</v>
      </c>
      <c r="U39" s="23">
        <f t="shared" si="2"/>
        <v>429.69043680744994</v>
      </c>
      <c r="AC39" s="27">
        <v>360</v>
      </c>
      <c r="AD39" s="27">
        <f t="shared" si="0"/>
        <v>52.337112426757827</v>
      </c>
      <c r="AE39" s="27">
        <f t="shared" ref="AE39:AG39" si="5">AE3</f>
        <v>-220.5374936544967</v>
      </c>
      <c r="AF39" s="27">
        <f t="shared" si="5"/>
        <v>0</v>
      </c>
      <c r="AG39" s="27">
        <f t="shared" si="5"/>
        <v>1637.911096699363</v>
      </c>
      <c r="AI39" s="27">
        <v>360</v>
      </c>
      <c r="AJ39" s="27">
        <f t="shared" si="1"/>
        <v>37.608566284179695</v>
      </c>
      <c r="AK39" s="27">
        <f t="shared" ref="AK39:AM39" si="6">AK3</f>
        <v>-112.78753629423292</v>
      </c>
      <c r="AL39" s="27">
        <f t="shared" si="6"/>
        <v>-1.7587353246430773E-14</v>
      </c>
      <c r="AM39" s="27">
        <f t="shared" si="6"/>
        <v>2396.3184298845963</v>
      </c>
    </row>
    <row r="40" spans="1:45" x14ac:dyDescent="0.2">
      <c r="A40" s="24"/>
      <c r="B40" s="13"/>
      <c r="C40" s="13"/>
      <c r="D40" s="13"/>
      <c r="E40" s="13"/>
      <c r="F40" s="13"/>
      <c r="G40" s="13"/>
      <c r="H40" s="13"/>
      <c r="I40" s="24"/>
      <c r="J40" s="13"/>
      <c r="K40" s="13"/>
      <c r="L40" s="13"/>
      <c r="M40" s="13"/>
      <c r="N40" s="13"/>
      <c r="O40" s="13"/>
      <c r="P40" s="14"/>
      <c r="Q40" s="22">
        <v>-220.53742980957031</v>
      </c>
      <c r="R40" s="22">
        <v>-827.5919189453125</v>
      </c>
      <c r="S40" s="22">
        <v>13.473413467407227</v>
      </c>
      <c r="T40" s="23" t="s">
        <v>23</v>
      </c>
      <c r="U40" s="23">
        <f t="shared" si="2"/>
        <v>-809.85339825635447</v>
      </c>
    </row>
    <row r="41" spans="1:45" x14ac:dyDescent="0.2">
      <c r="A41" s="24"/>
      <c r="B41" s="13"/>
      <c r="C41" s="13"/>
      <c r="D41" s="13"/>
      <c r="E41" s="13"/>
      <c r="F41" s="13"/>
      <c r="G41" s="13"/>
      <c r="H41" s="13"/>
      <c r="I41" s="24"/>
      <c r="J41" s="13"/>
      <c r="K41" s="13"/>
      <c r="L41" s="13"/>
      <c r="M41" s="13"/>
      <c r="N41" s="13"/>
      <c r="O41" s="13"/>
      <c r="P41" s="14"/>
      <c r="Q41" s="22">
        <v>-112.76921844482422</v>
      </c>
      <c r="R41" s="22">
        <v>352.224365234375</v>
      </c>
      <c r="S41" s="22">
        <v>-939.00054931640625</v>
      </c>
      <c r="T41" s="23" t="s">
        <v>194</v>
      </c>
      <c r="U41" s="23">
        <f t="shared" si="2"/>
        <v>166.80019923313321</v>
      </c>
      <c r="AC41" s="7">
        <f>XCOMPRESST($B$4,$B$5,$B$6,$B$15,$B$16,$B$17,$B$18,$B$11,$B$12,$B$13,$B$7,$B$8,B9,$AD$1,$B$3,$B$14)</f>
        <v>38.802880863451662</v>
      </c>
      <c r="AD41" s="7">
        <f t="array" ref="AD41:AF41">FLEXCOMPBIAXT($B$4,$B$5,$B$6,$B$15,$B$16,$B$17,$B$18,$B$11,$B$12,$B$13,$B$7,$B$8,B9,AC41,$B$3,$B$14)</f>
        <v>-220.5342580110833</v>
      </c>
      <c r="AE41" s="7">
        <v>1473.0567536102792</v>
      </c>
      <c r="AF41" s="7">
        <v>763.99097907392309</v>
      </c>
      <c r="AG41" s="7">
        <f t="shared" ref="AG41:AG42" si="7">AF41*COS($X$6)+AE41*SIN($X$6)</f>
        <v>1591.6660083639244</v>
      </c>
      <c r="AI41" s="7">
        <f>XCOMPRESST($B$4,$B$5,$B$6,$B$15,$B$16,$B$17,$B$18,$B$11,$B$12,$B$13,$B$7,$B$8,B9,$AJ$1,$B$3,$B$14)</f>
        <v>25.526502907037646</v>
      </c>
      <c r="AJ41" s="7">
        <f t="array" ref="AJ41:AL41">FLEXCOMPBIAXT($B$4,$B$5,$B$6,$B$15,$B$16,$B$17,$B$18,$B$11,$B$12,$B$13,$B$7,$B$8,B9,AI41,$B$3,$B$14)</f>
        <v>-112.77946332011766</v>
      </c>
      <c r="AK41" s="7">
        <v>2175.4964393603873</v>
      </c>
      <c r="AL41" s="7">
        <v>536.89840358098843</v>
      </c>
      <c r="AM41" s="7">
        <f t="shared" ref="AM41:AM42" si="8">AL41*COS($X$6)+AK41*SIN($X$6)</f>
        <v>2237.9468799646229</v>
      </c>
    </row>
    <row r="42" spans="1:45" x14ac:dyDescent="0.2">
      <c r="A42" s="34"/>
      <c r="B42" s="35"/>
      <c r="C42" s="35"/>
      <c r="D42" s="35"/>
      <c r="E42" s="35"/>
      <c r="F42" s="35"/>
      <c r="G42" s="35"/>
      <c r="H42" s="35"/>
      <c r="I42" s="34"/>
      <c r="J42" s="35"/>
      <c r="K42" s="35"/>
      <c r="L42" s="35"/>
      <c r="M42" s="35"/>
      <c r="N42" s="35"/>
      <c r="O42" s="35"/>
      <c r="P42" s="37"/>
      <c r="Q42" s="40">
        <v>-203.51991271972656</v>
      </c>
      <c r="R42" s="40">
        <v>-733.01385498046875</v>
      </c>
      <c r="S42" s="40">
        <v>352.15841674804688</v>
      </c>
      <c r="T42" s="27" t="s">
        <v>190</v>
      </c>
      <c r="U42" s="27">
        <f t="shared" si="2"/>
        <v>-652.45783040309368</v>
      </c>
      <c r="AC42" s="7">
        <f>XCOMPRESST($B$4,$B$5,$B$6,$B$15,$B$16,$B$17,$B$18,$B$11,$B$12,$B$13,$B$7,$B$8,B9+180,$AD$1,$B$3,$B$14)</f>
        <v>45.172387109157924</v>
      </c>
      <c r="AD42" s="7">
        <f t="array" ref="AD42:AF42">FLEXCOMPBIAXT($B$4,$B$5,$B$6,$B$15,$B$16,$B$17,$B$18,$B$11,$B$12,$B$13,$B$7,$B$8,B9+180,AC42,$B$3,$B$14)</f>
        <v>-220.52764827245994</v>
      </c>
      <c r="AE42" s="7">
        <v>-1367.0144206915736</v>
      </c>
      <c r="AF42" s="7">
        <v>-153.75103293212629</v>
      </c>
      <c r="AG42" s="7">
        <f t="shared" si="7"/>
        <v>-1371.2596736878086</v>
      </c>
      <c r="AI42" s="7">
        <f>XCOMPRESST($B$4,$B$5,$B$6,$B$15,$B$16,$B$17,$B$18,$B$11,$B$12,$B$13,$B$7,$B$8,B9+180,$AJ$1,$B$3,$B$14)</f>
        <v>32.324915533066218</v>
      </c>
      <c r="AJ42" s="7">
        <f t="array" ref="AJ42:AL42">FLEXCOMPBIAXT($B$4,$B$5,$B$6,$B$15,$B$16,$B$17,$B$18,$B$11,$B$12,$B$13,$B$7,$B$8,B9+180,AI42,$B$3,$B$14)</f>
        <v>-112.75942543752393</v>
      </c>
      <c r="AK42" s="7">
        <v>-1850.3713314699585</v>
      </c>
      <c r="AL42" s="7">
        <v>-572.75917155479476</v>
      </c>
      <c r="AM42" s="7">
        <f t="shared" si="8"/>
        <v>-1925.616469818267</v>
      </c>
    </row>
    <row r="43" spans="1:45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</row>
    <row r="44" spans="1:45" x14ac:dyDescent="0.2">
      <c r="A44" s="3" t="s">
        <v>84</v>
      </c>
      <c r="B44" s="3" t="s">
        <v>85</v>
      </c>
      <c r="C44" s="3" t="s">
        <v>86</v>
      </c>
      <c r="D44" s="3" t="s">
        <v>87</v>
      </c>
      <c r="E44" s="3" t="s">
        <v>88</v>
      </c>
      <c r="F44" s="3" t="s">
        <v>89</v>
      </c>
      <c r="H44" s="3" t="s">
        <v>90</v>
      </c>
      <c r="I44" s="3" t="s">
        <v>91</v>
      </c>
      <c r="J44" s="3" t="s">
        <v>92</v>
      </c>
      <c r="K44" s="3" t="s">
        <v>93</v>
      </c>
      <c r="W44" s="3" t="s">
        <v>94</v>
      </c>
      <c r="X44" s="3" t="s">
        <v>95</v>
      </c>
      <c r="Y44" s="3" t="s">
        <v>96</v>
      </c>
      <c r="Z44" s="3" t="s">
        <v>97</v>
      </c>
      <c r="AA44" s="3" t="s">
        <v>98</v>
      </c>
      <c r="AB44" s="3" t="s">
        <v>99</v>
      </c>
      <c r="AC44" s="3" t="s">
        <v>100</v>
      </c>
      <c r="AD44" s="3" t="s">
        <v>101</v>
      </c>
      <c r="AE44" s="3" t="s">
        <v>102</v>
      </c>
      <c r="AF44" s="3" t="s">
        <v>103</v>
      </c>
      <c r="AG44" s="3" t="s">
        <v>104</v>
      </c>
      <c r="AH44" s="3" t="s">
        <v>105</v>
      </c>
      <c r="AI44" s="3" t="s">
        <v>106</v>
      </c>
    </row>
    <row r="45" spans="1:45" x14ac:dyDescent="0.2">
      <c r="A45" s="42">
        <f t="array" ref="A45:B53">CONCTEE(B15,B16,B17,B18,B14)</f>
        <v>0</v>
      </c>
      <c r="B45" s="42">
        <v>0</v>
      </c>
      <c r="C45" s="42">
        <f t="shared" ref="C45:C53" ca="1" si="9">A45-$X$15</f>
        <v>-24.999999999999996</v>
      </c>
      <c r="D45" s="42">
        <f t="shared" ref="D45:D53" ca="1" si="10">B45-$X$16</f>
        <v>-22.719349134514118</v>
      </c>
      <c r="E45" s="42">
        <f t="shared" ref="E45:E53" ca="1" si="11">C45*COS($X$6)+D45*SIN($X$6)</f>
        <v>-27.067722511088746</v>
      </c>
      <c r="F45" s="42">
        <f t="shared" ref="F45:F53" ca="1" si="12">-C45*SIN($X$6)+D45*COS($X$6)</f>
        <v>20.211561620979381</v>
      </c>
      <c r="H45" s="18">
        <f t="array" aca="1" ref="H45:I55" ca="1">VERTCOMPRES(E45:F53,X21)</f>
        <v>-27.067722511088746</v>
      </c>
      <c r="I45" s="18">
        <f ca="1"/>
        <v>20.211561620979381</v>
      </c>
      <c r="J45" s="18">
        <f t="shared" ref="J45:J55" ca="1" si="13">H45*COS($X$6)-I45*SIN($X$6)</f>
        <v>-24.999999999999996</v>
      </c>
      <c r="K45" s="18">
        <f t="shared" ref="K45:K55" ca="1" si="14">H45*SIN($X$6)+I45*COS($X$6)</f>
        <v>-22.719349134514115</v>
      </c>
      <c r="W45" s="42">
        <f t="array" ref="W45:Y72">REBARTEE(B15,B16,B17,B18,B11,B12,B13,B7,B8,B14)</f>
        <v>5</v>
      </c>
      <c r="X45" s="42">
        <v>5</v>
      </c>
      <c r="Y45" s="42">
        <v>3.1415926535897931</v>
      </c>
      <c r="Z45" s="18">
        <f t="shared" ref="Z45:Z72" ca="1" si="15">W45-$X$15</f>
        <v>-19.999999999999996</v>
      </c>
      <c r="AA45" s="18">
        <f t="shared" ref="AA45:AA72" ca="1" si="16">X45-$X$16</f>
        <v>-17.719349134514118</v>
      </c>
      <c r="AB45" s="18">
        <f t="shared" ref="AB45:AB72" ca="1" si="17">Z45*COS($X$6)+AA45*SIN($X$6)</f>
        <v>-21.206409150315757</v>
      </c>
      <c r="AC45" s="18">
        <f t="shared" ref="AC45:AC72" ca="1" si="18">-Z45*SIN($X$6)+AA45*COS($X$6)</f>
        <v>16.256184813793492</v>
      </c>
      <c r="AD45" s="18">
        <f t="shared" ref="AD45:AD72" ca="1" si="19">$X$18-AC45</f>
        <v>8.7202181911536591</v>
      </c>
      <c r="AE45" s="18">
        <f t="shared" ref="AE45:AE72" ca="1" si="20">($B$10-AD45)*$AA$4</f>
        <v>-2.2231909945258148</v>
      </c>
      <c r="AF45" s="18">
        <f t="shared" ref="AF45:AF72" ca="1" si="21">IF(ABS(AE45)&lt;$X$7,AE45*$B$6/1000,SIGN(AE45)*$B$5)-IF(AD45&lt;$X$20,$X$8)</f>
        <v>-4.0214998148381706</v>
      </c>
      <c r="AG45" s="18">
        <f ca="1">Y45*AF45</f>
        <v>-12.63391427470831</v>
      </c>
      <c r="AH45" s="18">
        <f ca="1">AG45*AC45</f>
        <v>-205.37924537128205</v>
      </c>
      <c r="AI45" s="18">
        <f ca="1">AG45*AB45</f>
        <v>267.91995527947915</v>
      </c>
    </row>
    <row r="46" spans="1:45" x14ac:dyDescent="0.2">
      <c r="A46" s="43">
        <v>50</v>
      </c>
      <c r="B46" s="43">
        <v>0</v>
      </c>
      <c r="C46" s="43">
        <f t="shared" ca="1" si="9"/>
        <v>25.000000000000004</v>
      </c>
      <c r="D46" s="43">
        <f t="shared" ca="1" si="10"/>
        <v>-22.719349134514118</v>
      </c>
      <c r="E46" s="43">
        <f t="shared" ca="1" si="11"/>
        <v>-17.538039743153202</v>
      </c>
      <c r="F46" s="43">
        <f t="shared" ca="1" si="12"/>
        <v>-28.871889218815006</v>
      </c>
      <c r="H46" s="23">
        <f ca="1"/>
        <v>-22.435109512197826</v>
      </c>
      <c r="I46" s="23">
        <f ca="1"/>
        <v>-3.6491101272905979</v>
      </c>
      <c r="J46" s="23">
        <f t="shared" ca="1" si="13"/>
        <v>-0.69377117946549083</v>
      </c>
      <c r="K46" s="23">
        <f t="shared" ca="1" si="14"/>
        <v>-22.719349134514111</v>
      </c>
      <c r="W46" s="43">
        <v>17.5</v>
      </c>
      <c r="X46" s="43">
        <v>5</v>
      </c>
      <c r="Y46" s="43">
        <v>3.1415926535897931</v>
      </c>
      <c r="Z46" s="23">
        <f t="shared" ca="1" si="15"/>
        <v>-7.4999999999999964</v>
      </c>
      <c r="AA46" s="23">
        <f t="shared" ca="1" si="16"/>
        <v>-17.719349134514118</v>
      </c>
      <c r="AB46" s="23">
        <f t="shared" ca="1" si="17"/>
        <v>-18.823988458331868</v>
      </c>
      <c r="AC46" s="23">
        <f t="shared" ca="1" si="18"/>
        <v>3.985322103844898</v>
      </c>
      <c r="AD46" s="23">
        <f t="shared" ca="1" si="19"/>
        <v>20.991080901102254</v>
      </c>
      <c r="AE46" s="23">
        <f t="shared" ca="1" si="20"/>
        <v>-1.1300857018514396</v>
      </c>
      <c r="AF46" s="23">
        <f t="shared" ca="1" si="21"/>
        <v>-2.1946799794610574</v>
      </c>
      <c r="AG46" s="23">
        <f t="shared" ref="AG46:AG72" ca="1" si="22">Y46*AF46</f>
        <v>-6.8947905004554562</v>
      </c>
      <c r="AH46" s="23">
        <f t="shared" ref="AH46:AH72" ca="1" si="23">AG46*AC46</f>
        <v>-27.477960982844955</v>
      </c>
      <c r="AI46" s="23">
        <f t="shared" ref="AI46:AI72" ca="1" si="24">AG46*AB46</f>
        <v>129.78745680318971</v>
      </c>
    </row>
    <row r="47" spans="1:45" x14ac:dyDescent="0.2">
      <c r="A47" s="43">
        <v>50</v>
      </c>
      <c r="B47" s="43">
        <v>25</v>
      </c>
      <c r="C47" s="43">
        <f t="shared" ca="1" si="9"/>
        <v>25.000000000000004</v>
      </c>
      <c r="D47" s="43">
        <f t="shared" ca="1" si="10"/>
        <v>2.2806508654858817</v>
      </c>
      <c r="E47" s="43">
        <f t="shared" ca="1" si="11"/>
        <v>7.0036856767439888</v>
      </c>
      <c r="F47" s="43">
        <f t="shared" ca="1" si="12"/>
        <v>-24.107047834847236</v>
      </c>
      <c r="H47" s="23">
        <f ca="1"/>
        <v>33.591921043902325</v>
      </c>
      <c r="I47" s="23">
        <f ca="1"/>
        <v>-3.6491101272905979</v>
      </c>
      <c r="J47" s="23">
        <f t="shared" ca="1" si="13"/>
        <v>9.9846253731158257</v>
      </c>
      <c r="K47" s="23">
        <f t="shared" ca="1" si="14"/>
        <v>32.280650865485882</v>
      </c>
      <c r="W47" s="43">
        <v>32.5</v>
      </c>
      <c r="X47" s="43">
        <v>5</v>
      </c>
      <c r="Y47" s="43">
        <v>3.1415926535897931</v>
      </c>
      <c r="Z47" s="23">
        <f t="shared" ca="1" si="15"/>
        <v>7.5000000000000036</v>
      </c>
      <c r="AA47" s="23">
        <f t="shared" ca="1" si="16"/>
        <v>-17.719349134514118</v>
      </c>
      <c r="AB47" s="23">
        <f t="shared" ca="1" si="17"/>
        <v>-15.965083627951206</v>
      </c>
      <c r="AC47" s="23">
        <f t="shared" ca="1" si="18"/>
        <v>-10.739713148093418</v>
      </c>
      <c r="AD47" s="23">
        <f t="shared" ca="1" si="19"/>
        <v>35.716116153040574</v>
      </c>
      <c r="AE47" s="23">
        <f t="shared" ca="1" si="20"/>
        <v>0.1816406493578111</v>
      </c>
      <c r="AF47" s="23">
        <f t="shared" ca="1" si="21"/>
        <v>0.38144536365140336</v>
      </c>
      <c r="AG47" s="23">
        <f t="shared" ca="1" si="22"/>
        <v>1.1983459521931359</v>
      </c>
      <c r="AH47" s="23">
        <f t="shared" ca="1" si="23"/>
        <v>-12.869891778733148</v>
      </c>
      <c r="AI47" s="23">
        <f t="shared" ca="1" si="24"/>
        <v>-19.131693341980231</v>
      </c>
    </row>
    <row r="48" spans="1:45" x14ac:dyDescent="0.2">
      <c r="A48" s="43">
        <v>37.5</v>
      </c>
      <c r="B48" s="43">
        <v>25</v>
      </c>
      <c r="C48" s="43">
        <f t="shared" ca="1" si="9"/>
        <v>12.500000000000004</v>
      </c>
      <c r="D48" s="43">
        <f t="shared" ca="1" si="10"/>
        <v>2.2806508654858817</v>
      </c>
      <c r="E48" s="43">
        <f t="shared" ca="1" si="11"/>
        <v>4.6212649847601028</v>
      </c>
      <c r="F48" s="43">
        <f t="shared" ca="1" si="12"/>
        <v>-11.836185124898639</v>
      </c>
      <c r="H48" s="23">
        <f ca="1"/>
        <v>29.30649410466896</v>
      </c>
      <c r="I48" s="23">
        <f ca="1"/>
        <v>18.423349955759882</v>
      </c>
      <c r="J48" s="23">
        <f t="shared" ca="1" si="13"/>
        <v>-12.499999999999996</v>
      </c>
      <c r="K48" s="23">
        <f t="shared" ca="1" si="14"/>
        <v>32.280650865485875</v>
      </c>
      <c r="W48" s="43">
        <v>45</v>
      </c>
      <c r="X48" s="43">
        <v>5</v>
      </c>
      <c r="Y48" s="43">
        <v>3.1415926535897931</v>
      </c>
      <c r="Z48" s="23">
        <f t="shared" ca="1" si="15"/>
        <v>20.000000000000004</v>
      </c>
      <c r="AA48" s="23">
        <f t="shared" ca="1" si="16"/>
        <v>-17.719349134514118</v>
      </c>
      <c r="AB48" s="23">
        <f t="shared" ca="1" si="17"/>
        <v>-13.582662935967321</v>
      </c>
      <c r="AC48" s="23">
        <f t="shared" ca="1" si="18"/>
        <v>-23.010575858042014</v>
      </c>
      <c r="AD48" s="23">
        <f t="shared" ca="1" si="19"/>
        <v>47.986978862989162</v>
      </c>
      <c r="AE48" s="23">
        <f t="shared" ca="1" si="20"/>
        <v>1.2747459420321856</v>
      </c>
      <c r="AF48" s="23">
        <f t="shared" ca="1" si="21"/>
        <v>2.6769664782675902</v>
      </c>
      <c r="AG48" s="23">
        <f t="shared" ca="1" si="22"/>
        <v>8.4099382220316024</v>
      </c>
      <c r="AH48" s="23">
        <f t="shared" ca="1" si="23"/>
        <v>-193.51752141950516</v>
      </c>
      <c r="AI48" s="23">
        <f t="shared" ca="1" si="24"/>
        <v>-114.22935618216356</v>
      </c>
    </row>
    <row r="49" spans="1:35" x14ac:dyDescent="0.2">
      <c r="A49" s="43">
        <v>37.5</v>
      </c>
      <c r="B49" s="43">
        <v>55</v>
      </c>
      <c r="C49" s="43">
        <f t="shared" ca="1" si="9"/>
        <v>12.500000000000004</v>
      </c>
      <c r="D49" s="43">
        <f t="shared" ca="1" si="10"/>
        <v>32.280650865485882</v>
      </c>
      <c r="E49" s="43">
        <f t="shared" ca="1" si="11"/>
        <v>34.071335488636734</v>
      </c>
      <c r="F49" s="43">
        <f t="shared" ca="1" si="12"/>
        <v>-6.118375464137312</v>
      </c>
      <c r="H49" s="23">
        <f ca="1"/>
        <v>-0.14357639920766951</v>
      </c>
      <c r="I49" s="23">
        <f ca="1"/>
        <v>12.705540294998555</v>
      </c>
      <c r="J49" s="23">
        <f t="shared" ca="1" si="13"/>
        <v>-12.499999999999996</v>
      </c>
      <c r="K49" s="23">
        <f t="shared" ca="1" si="14"/>
        <v>2.2806508654858817</v>
      </c>
      <c r="W49" s="43">
        <v>45</v>
      </c>
      <c r="X49" s="43">
        <v>20</v>
      </c>
      <c r="Y49" s="43">
        <v>3.1415926535897931</v>
      </c>
      <c r="Z49" s="23">
        <f t="shared" ca="1" si="15"/>
        <v>20.000000000000004</v>
      </c>
      <c r="AA49" s="23">
        <f t="shared" ca="1" si="16"/>
        <v>-2.7193491345141183</v>
      </c>
      <c r="AB49" s="23">
        <f t="shared" ca="1" si="17"/>
        <v>1.142372315970996</v>
      </c>
      <c r="AC49" s="23">
        <f t="shared" ca="1" si="18"/>
        <v>-20.151671027661351</v>
      </c>
      <c r="AD49" s="23">
        <f t="shared" ca="1" si="19"/>
        <v>45.128074032608502</v>
      </c>
      <c r="AE49" s="23">
        <f t="shared" ca="1" si="20"/>
        <v>1.0200707757288601</v>
      </c>
      <c r="AF49" s="23">
        <f t="shared" ca="1" si="21"/>
        <v>2.142148629030606</v>
      </c>
      <c r="AG49" s="23">
        <f t="shared" ca="1" si="22"/>
        <v>6.7297583958599985</v>
      </c>
      <c r="AH49" s="23">
        <f t="shared" ca="1" si="23"/>
        <v>-135.61587728901267</v>
      </c>
      <c r="AI49" s="23">
        <f t="shared" ca="1" si="24"/>
        <v>7.6878896846038414</v>
      </c>
    </row>
    <row r="50" spans="1:35" x14ac:dyDescent="0.2">
      <c r="A50" s="43">
        <v>12.5</v>
      </c>
      <c r="B50" s="43">
        <v>55</v>
      </c>
      <c r="C50" s="43">
        <f t="shared" ca="1" si="9"/>
        <v>-12.499999999999996</v>
      </c>
      <c r="D50" s="43">
        <f t="shared" ca="1" si="10"/>
        <v>32.280650865485882</v>
      </c>
      <c r="E50" s="43">
        <f t="shared" ca="1" si="11"/>
        <v>29.30649410466896</v>
      </c>
      <c r="F50" s="43">
        <f t="shared" ca="1" si="12"/>
        <v>18.423349955759882</v>
      </c>
      <c r="H50" s="23">
        <f ca="1"/>
        <v>-2.5259970911915559</v>
      </c>
      <c r="I50" s="23">
        <f ca="1"/>
        <v>24.976403004947151</v>
      </c>
      <c r="J50" s="23">
        <f t="shared" ca="1" si="13"/>
        <v>-24.999999999999993</v>
      </c>
      <c r="K50" s="23">
        <f t="shared" ca="1" si="14"/>
        <v>2.2806508654858813</v>
      </c>
      <c r="W50" s="43">
        <v>32.5</v>
      </c>
      <c r="X50" s="43">
        <v>20</v>
      </c>
      <c r="Y50" s="43">
        <v>3.1415926535897931</v>
      </c>
      <c r="Z50" s="23">
        <f t="shared" ca="1" si="15"/>
        <v>7.5000000000000036</v>
      </c>
      <c r="AA50" s="23">
        <f t="shared" ca="1" si="16"/>
        <v>-2.7193491345141183</v>
      </c>
      <c r="AB50" s="23">
        <f t="shared" ca="1" si="17"/>
        <v>-1.2400483760128904</v>
      </c>
      <c r="AC50" s="23">
        <f t="shared" ca="1" si="18"/>
        <v>-7.8808083177127539</v>
      </c>
      <c r="AD50" s="23">
        <f t="shared" ca="1" si="19"/>
        <v>32.857211322659907</v>
      </c>
      <c r="AE50" s="23">
        <f t="shared" ca="1" si="20"/>
        <v>-7.303451694551516E-2</v>
      </c>
      <c r="AF50" s="23">
        <f t="shared" ca="1" si="21"/>
        <v>-0.15337248558558184</v>
      </c>
      <c r="AG50" s="23">
        <f t="shared" ca="1" si="22"/>
        <v>-0.48183387397847033</v>
      </c>
      <c r="AH50" s="23">
        <f t="shared" ca="1" si="23"/>
        <v>3.7972404018052877</v>
      </c>
      <c r="AI50" s="23">
        <f t="shared" ca="1" si="24"/>
        <v>0.59749731293500186</v>
      </c>
    </row>
    <row r="51" spans="1:35" x14ac:dyDescent="0.2">
      <c r="A51" s="43">
        <v>12.5</v>
      </c>
      <c r="B51" s="43">
        <v>25</v>
      </c>
      <c r="C51" s="43">
        <f t="shared" ca="1" si="9"/>
        <v>-12.499999999999996</v>
      </c>
      <c r="D51" s="43">
        <f t="shared" ca="1" si="10"/>
        <v>2.2806508654858817</v>
      </c>
      <c r="E51" s="43">
        <f t="shared" ca="1" si="11"/>
        <v>-0.14357639920766951</v>
      </c>
      <c r="F51" s="43">
        <f t="shared" ca="1" si="12"/>
        <v>12.705540294998555</v>
      </c>
      <c r="H51" s="23">
        <f ca="1"/>
        <v>-27.067722511088746</v>
      </c>
      <c r="I51" s="23">
        <f ca="1"/>
        <v>20.211561620979381</v>
      </c>
      <c r="J51" s="23">
        <f t="shared" ca="1" si="13"/>
        <v>-24.999999999999996</v>
      </c>
      <c r="K51" s="23">
        <f t="shared" ca="1" si="14"/>
        <v>-22.719349134514115</v>
      </c>
      <c r="W51" s="43">
        <v>32.5</v>
      </c>
      <c r="X51" s="43">
        <v>50</v>
      </c>
      <c r="Y51" s="43">
        <v>3.1415926535897931</v>
      </c>
      <c r="Z51" s="23">
        <f t="shared" ca="1" si="15"/>
        <v>7.5000000000000036</v>
      </c>
      <c r="AA51" s="23">
        <f t="shared" ca="1" si="16"/>
        <v>27.280650865485882</v>
      </c>
      <c r="AB51" s="23">
        <f t="shared" ca="1" si="17"/>
        <v>28.210022127863741</v>
      </c>
      <c r="AC51" s="23">
        <f t="shared" ca="1" si="18"/>
        <v>-2.1629986569514275</v>
      </c>
      <c r="AD51" s="23">
        <f t="shared" ca="1" si="19"/>
        <v>27.139401661898578</v>
      </c>
      <c r="AE51" s="23">
        <f t="shared" ca="1" si="20"/>
        <v>-0.58238484955216741</v>
      </c>
      <c r="AF51" s="23">
        <f t="shared" ca="1" si="21"/>
        <v>-1.0445081896325858</v>
      </c>
      <c r="AG51" s="23">
        <f t="shared" ca="1" si="22"/>
        <v>-3.2814192551641064</v>
      </c>
      <c r="AH51" s="23">
        <f t="shared" ca="1" si="23"/>
        <v>7.0977054418145151</v>
      </c>
      <c r="AI51" s="23">
        <f t="shared" ca="1" si="24"/>
        <v>-92.5689097989776</v>
      </c>
    </row>
    <row r="52" spans="1:35" x14ac:dyDescent="0.2">
      <c r="A52" s="43">
        <v>0</v>
      </c>
      <c r="B52" s="43">
        <v>25</v>
      </c>
      <c r="C52" s="43">
        <f t="shared" ca="1" si="9"/>
        <v>-24.999999999999996</v>
      </c>
      <c r="D52" s="43">
        <f t="shared" ca="1" si="10"/>
        <v>2.2806508654858817</v>
      </c>
      <c r="E52" s="43">
        <f t="shared" ca="1" si="11"/>
        <v>-2.5259970911915559</v>
      </c>
      <c r="F52" s="43">
        <f t="shared" ca="1" si="12"/>
        <v>24.976403004947151</v>
      </c>
      <c r="H52" s="23">
        <f ca="1"/>
        <v>-27.067722511088746</v>
      </c>
      <c r="I52" s="23">
        <f ca="1"/>
        <v>20.211561620979381</v>
      </c>
      <c r="J52" s="23">
        <f t="shared" ca="1" si="13"/>
        <v>-24.999999999999996</v>
      </c>
      <c r="K52" s="23">
        <f t="shared" ca="1" si="14"/>
        <v>-22.719349134514115</v>
      </c>
      <c r="W52" s="43">
        <v>17.5</v>
      </c>
      <c r="X52" s="43">
        <v>50</v>
      </c>
      <c r="Y52" s="43">
        <v>3.1415926535897931</v>
      </c>
      <c r="Z52" s="23">
        <f t="shared" ca="1" si="15"/>
        <v>-7.4999999999999964</v>
      </c>
      <c r="AA52" s="23">
        <f t="shared" ca="1" si="16"/>
        <v>27.280650865485882</v>
      </c>
      <c r="AB52" s="23">
        <f t="shared" ca="1" si="17"/>
        <v>25.351117297483079</v>
      </c>
      <c r="AC52" s="23">
        <f t="shared" ca="1" si="18"/>
        <v>12.562036594986889</v>
      </c>
      <c r="AD52" s="23">
        <f t="shared" ca="1" si="19"/>
        <v>12.414366409960262</v>
      </c>
      <c r="AE52" s="23">
        <f t="shared" ca="1" si="20"/>
        <v>-1.8941112007614178</v>
      </c>
      <c r="AF52" s="23">
        <f t="shared" ca="1" si="21"/>
        <v>-3.7991335271720117</v>
      </c>
      <c r="AG52" s="23">
        <f t="shared" ca="1" si="22"/>
        <v>-11.935329978970271</v>
      </c>
      <c r="AH52" s="23">
        <f t="shared" ca="1" si="23"/>
        <v>-149.93205196906865</v>
      </c>
      <c r="AI52" s="23">
        <f t="shared" ca="1" si="24"/>
        <v>-302.57395028104162</v>
      </c>
    </row>
    <row r="53" spans="1:35" x14ac:dyDescent="0.2">
      <c r="A53" s="44">
        <v>0</v>
      </c>
      <c r="B53" s="44">
        <v>0</v>
      </c>
      <c r="C53" s="44">
        <f t="shared" ca="1" si="9"/>
        <v>-24.999999999999996</v>
      </c>
      <c r="D53" s="44">
        <f t="shared" ca="1" si="10"/>
        <v>-22.719349134514118</v>
      </c>
      <c r="E53" s="44">
        <f t="shared" ca="1" si="11"/>
        <v>-27.067722511088746</v>
      </c>
      <c r="F53" s="44">
        <f t="shared" ca="1" si="12"/>
        <v>20.211561620979381</v>
      </c>
      <c r="H53" s="23" t="e">
        <f ca="1"/>
        <v>#N/A</v>
      </c>
      <c r="I53" s="23" t="e">
        <f ca="1"/>
        <v>#N/A</v>
      </c>
      <c r="J53" s="23" t="e">
        <f t="shared" ca="1" si="13"/>
        <v>#N/A</v>
      </c>
      <c r="K53" s="23" t="e">
        <f t="shared" ca="1" si="14"/>
        <v>#N/A</v>
      </c>
      <c r="W53" s="43">
        <v>17.5</v>
      </c>
      <c r="X53" s="43">
        <v>20</v>
      </c>
      <c r="Y53" s="43">
        <v>3.1415926535897931</v>
      </c>
      <c r="Z53" s="23">
        <f t="shared" ca="1" si="15"/>
        <v>-7.4999999999999964</v>
      </c>
      <c r="AA53" s="23">
        <f t="shared" ca="1" si="16"/>
        <v>-2.7193491345141183</v>
      </c>
      <c r="AB53" s="23">
        <f t="shared" ca="1" si="17"/>
        <v>-4.0989532063935536</v>
      </c>
      <c r="AC53" s="23">
        <f t="shared" ca="1" si="18"/>
        <v>6.8442269342255617</v>
      </c>
      <c r="AD53" s="23">
        <f t="shared" ca="1" si="19"/>
        <v>18.132176070721592</v>
      </c>
      <c r="AE53" s="23">
        <f t="shared" ca="1" si="20"/>
        <v>-1.3847608681547656</v>
      </c>
      <c r="AF53" s="23">
        <f t="shared" ca="1" si="21"/>
        <v>-2.7294978286980425</v>
      </c>
      <c r="AG53" s="23">
        <f t="shared" ca="1" si="22"/>
        <v>-8.5749703266270618</v>
      </c>
      <c r="AH53" s="23">
        <f t="shared" ca="1" si="23"/>
        <v>-58.689042869685899</v>
      </c>
      <c r="AI53" s="23">
        <f t="shared" ca="1" si="24"/>
        <v>35.148402115057571</v>
      </c>
    </row>
    <row r="54" spans="1:35" x14ac:dyDescent="0.2">
      <c r="H54" s="23" t="e">
        <f ca="1"/>
        <v>#N/A</v>
      </c>
      <c r="I54" s="23" t="e">
        <f ca="1"/>
        <v>#N/A</v>
      </c>
      <c r="J54" s="23" t="e">
        <f t="shared" ca="1" si="13"/>
        <v>#N/A</v>
      </c>
      <c r="K54" s="23" t="e">
        <f t="shared" ca="1" si="14"/>
        <v>#N/A</v>
      </c>
      <c r="W54" s="43">
        <v>5</v>
      </c>
      <c r="X54" s="43">
        <v>20</v>
      </c>
      <c r="Y54" s="43">
        <v>3.1415926535897931</v>
      </c>
      <c r="Z54" s="23">
        <f t="shared" ca="1" si="15"/>
        <v>-19.999999999999996</v>
      </c>
      <c r="AA54" s="23">
        <f t="shared" ca="1" si="16"/>
        <v>-2.7193491345141183</v>
      </c>
      <c r="AB54" s="23">
        <f t="shared" ca="1" si="17"/>
        <v>-6.4813738983774396</v>
      </c>
      <c r="AC54" s="23">
        <f t="shared" ca="1" si="18"/>
        <v>19.115089644174155</v>
      </c>
      <c r="AD54" s="23">
        <f t="shared" ca="1" si="19"/>
        <v>5.8613133607729964</v>
      </c>
      <c r="AE54" s="23">
        <f t="shared" ca="1" si="20"/>
        <v>-2.4778661608291408</v>
      </c>
      <c r="AF54" s="23">
        <f t="shared" ca="1" si="21"/>
        <v>-4.0214998148381706</v>
      </c>
      <c r="AG54" s="23">
        <f t="shared" ca="1" si="22"/>
        <v>-12.63391427470831</v>
      </c>
      <c r="AH54" s="23">
        <f t="shared" ca="1" si="23"/>
        <v>-241.49840391786086</v>
      </c>
      <c r="AI54" s="23">
        <f t="shared" ca="1" si="24"/>
        <v>81.885122214432585</v>
      </c>
    </row>
    <row r="55" spans="1:35" x14ac:dyDescent="0.2">
      <c r="H55" s="27" t="e">
        <f ca="1"/>
        <v>#N/A</v>
      </c>
      <c r="I55" s="27" t="e">
        <f ca="1"/>
        <v>#N/A</v>
      </c>
      <c r="J55" s="27" t="e">
        <f t="shared" ca="1" si="13"/>
        <v>#N/A</v>
      </c>
      <c r="K55" s="27" t="e">
        <f t="shared" ca="1" si="14"/>
        <v>#N/A</v>
      </c>
      <c r="W55" s="43">
        <v>32.5</v>
      </c>
      <c r="X55" s="43">
        <v>35</v>
      </c>
      <c r="Y55" s="43">
        <v>3.1415926535897931</v>
      </c>
      <c r="Z55" s="23">
        <f t="shared" ca="1" si="15"/>
        <v>7.5000000000000036</v>
      </c>
      <c r="AA55" s="23">
        <f t="shared" ca="1" si="16"/>
        <v>12.280650865485882</v>
      </c>
      <c r="AB55" s="23">
        <f t="shared" ca="1" si="17"/>
        <v>13.484986875925426</v>
      </c>
      <c r="AC55" s="23">
        <f t="shared" ca="1" si="18"/>
        <v>-5.0219034873320911</v>
      </c>
      <c r="AD55" s="23">
        <f t="shared" ca="1" si="19"/>
        <v>29.998306492279241</v>
      </c>
      <c r="AE55" s="23">
        <f t="shared" ca="1" si="20"/>
        <v>-0.32770968324884142</v>
      </c>
      <c r="AF55" s="23">
        <f t="shared" ca="1" si="21"/>
        <v>-0.68819033482256697</v>
      </c>
      <c r="AG55" s="23">
        <f t="shared" ca="1" si="22"/>
        <v>-2.1620137001500765</v>
      </c>
      <c r="AH55" s="23">
        <f t="shared" ca="1" si="23"/>
        <v>10.857424140443428</v>
      </c>
      <c r="AI55" s="23">
        <f t="shared" ca="1" si="24"/>
        <v>-29.15472637209475</v>
      </c>
    </row>
    <row r="56" spans="1:35" x14ac:dyDescent="0.2">
      <c r="W56" s="43">
        <v>17.5</v>
      </c>
      <c r="X56" s="43">
        <v>35</v>
      </c>
      <c r="Y56" s="43">
        <v>3.1415926535897931</v>
      </c>
      <c r="Z56" s="23">
        <f t="shared" ca="1" si="15"/>
        <v>-7.4999999999999964</v>
      </c>
      <c r="AA56" s="23">
        <f t="shared" ca="1" si="16"/>
        <v>12.280650865485882</v>
      </c>
      <c r="AB56" s="23">
        <f t="shared" ca="1" si="17"/>
        <v>10.626082045544761</v>
      </c>
      <c r="AC56" s="23">
        <f t="shared" ca="1" si="18"/>
        <v>9.7031317646062245</v>
      </c>
      <c r="AD56" s="23">
        <f t="shared" ca="1" si="19"/>
        <v>15.273271240340927</v>
      </c>
      <c r="AE56" s="23">
        <f t="shared" ca="1" si="20"/>
        <v>-1.6394360344580918</v>
      </c>
      <c r="AF56" s="23">
        <f t="shared" ca="1" si="21"/>
        <v>-3.2643156779350271</v>
      </c>
      <c r="AG56" s="23">
        <f t="shared" ca="1" si="22"/>
        <v>-10.255150152798667</v>
      </c>
      <c r="AH56" s="23">
        <f t="shared" ca="1" si="23"/>
        <v>-99.507073198427122</v>
      </c>
      <c r="AI56" s="23">
        <f t="shared" ca="1" si="24"/>
        <v>-108.97206691301952</v>
      </c>
    </row>
    <row r="57" spans="1:35" x14ac:dyDescent="0.2">
      <c r="W57" s="43" t="e">
        <v>#N/A</v>
      </c>
      <c r="X57" s="43" t="e">
        <v>#N/A</v>
      </c>
      <c r="Y57" s="43" t="e">
        <v>#N/A</v>
      </c>
      <c r="Z57" s="23" t="e">
        <f t="shared" ca="1" si="15"/>
        <v>#N/A</v>
      </c>
      <c r="AA57" s="23" t="e">
        <f t="shared" ca="1" si="16"/>
        <v>#N/A</v>
      </c>
      <c r="AB57" s="23" t="e">
        <f t="shared" ca="1" si="17"/>
        <v>#N/A</v>
      </c>
      <c r="AC57" s="23" t="e">
        <f t="shared" ca="1" si="18"/>
        <v>#N/A</v>
      </c>
      <c r="AD57" s="23" t="e">
        <f t="shared" ca="1" si="19"/>
        <v>#N/A</v>
      </c>
      <c r="AE57" s="23" t="e">
        <f t="shared" ca="1" si="20"/>
        <v>#N/A</v>
      </c>
      <c r="AF57" s="23" t="e">
        <f t="shared" ca="1" si="21"/>
        <v>#N/A</v>
      </c>
      <c r="AG57" s="23" t="e">
        <f t="shared" ca="1" si="22"/>
        <v>#N/A</v>
      </c>
      <c r="AH57" s="23" t="e">
        <f t="shared" ca="1" si="23"/>
        <v>#N/A</v>
      </c>
      <c r="AI57" s="23" t="e">
        <f t="shared" ca="1" si="24"/>
        <v>#N/A</v>
      </c>
    </row>
    <row r="58" spans="1:35" x14ac:dyDescent="0.2">
      <c r="W58" s="43" t="e">
        <v>#N/A</v>
      </c>
      <c r="X58" s="43" t="e">
        <v>#N/A</v>
      </c>
      <c r="Y58" s="43" t="e">
        <v>#N/A</v>
      </c>
      <c r="Z58" s="23" t="e">
        <f t="shared" ca="1" si="15"/>
        <v>#N/A</v>
      </c>
      <c r="AA58" s="23" t="e">
        <f t="shared" ca="1" si="16"/>
        <v>#N/A</v>
      </c>
      <c r="AB58" s="23" t="e">
        <f t="shared" ca="1" si="17"/>
        <v>#N/A</v>
      </c>
      <c r="AC58" s="23" t="e">
        <f t="shared" ca="1" si="18"/>
        <v>#N/A</v>
      </c>
      <c r="AD58" s="23" t="e">
        <f t="shared" ca="1" si="19"/>
        <v>#N/A</v>
      </c>
      <c r="AE58" s="23" t="e">
        <f t="shared" ca="1" si="20"/>
        <v>#N/A</v>
      </c>
      <c r="AF58" s="23" t="e">
        <f t="shared" ca="1" si="21"/>
        <v>#N/A</v>
      </c>
      <c r="AG58" s="23" t="e">
        <f t="shared" ca="1" si="22"/>
        <v>#N/A</v>
      </c>
      <c r="AH58" s="23" t="e">
        <f t="shared" ca="1" si="23"/>
        <v>#N/A</v>
      </c>
      <c r="AI58" s="23" t="e">
        <f t="shared" ca="1" si="24"/>
        <v>#N/A</v>
      </c>
    </row>
    <row r="59" spans="1:35" x14ac:dyDescent="0.2">
      <c r="W59" s="43" t="e">
        <v>#N/A</v>
      </c>
      <c r="X59" s="43" t="e">
        <v>#N/A</v>
      </c>
      <c r="Y59" s="43" t="e">
        <v>#N/A</v>
      </c>
      <c r="Z59" s="23" t="e">
        <f t="shared" ca="1" si="15"/>
        <v>#N/A</v>
      </c>
      <c r="AA59" s="23" t="e">
        <f t="shared" ca="1" si="16"/>
        <v>#N/A</v>
      </c>
      <c r="AB59" s="23" t="e">
        <f t="shared" ca="1" si="17"/>
        <v>#N/A</v>
      </c>
      <c r="AC59" s="23" t="e">
        <f t="shared" ca="1" si="18"/>
        <v>#N/A</v>
      </c>
      <c r="AD59" s="23" t="e">
        <f t="shared" ca="1" si="19"/>
        <v>#N/A</v>
      </c>
      <c r="AE59" s="23" t="e">
        <f t="shared" ca="1" si="20"/>
        <v>#N/A</v>
      </c>
      <c r="AF59" s="23" t="e">
        <f t="shared" ca="1" si="21"/>
        <v>#N/A</v>
      </c>
      <c r="AG59" s="23" t="e">
        <f t="shared" ca="1" si="22"/>
        <v>#N/A</v>
      </c>
      <c r="AH59" s="23" t="e">
        <f t="shared" ca="1" si="23"/>
        <v>#N/A</v>
      </c>
      <c r="AI59" s="23" t="e">
        <f t="shared" ca="1" si="24"/>
        <v>#N/A</v>
      </c>
    </row>
    <row r="60" spans="1:35" x14ac:dyDescent="0.2">
      <c r="W60" s="43" t="e">
        <v>#N/A</v>
      </c>
      <c r="X60" s="43" t="e">
        <v>#N/A</v>
      </c>
      <c r="Y60" s="43" t="e">
        <v>#N/A</v>
      </c>
      <c r="Z60" s="23" t="e">
        <f t="shared" ca="1" si="15"/>
        <v>#N/A</v>
      </c>
      <c r="AA60" s="23" t="e">
        <f t="shared" ca="1" si="16"/>
        <v>#N/A</v>
      </c>
      <c r="AB60" s="23" t="e">
        <f t="shared" ca="1" si="17"/>
        <v>#N/A</v>
      </c>
      <c r="AC60" s="23" t="e">
        <f t="shared" ca="1" si="18"/>
        <v>#N/A</v>
      </c>
      <c r="AD60" s="23" t="e">
        <f t="shared" ca="1" si="19"/>
        <v>#N/A</v>
      </c>
      <c r="AE60" s="23" t="e">
        <f t="shared" ca="1" si="20"/>
        <v>#N/A</v>
      </c>
      <c r="AF60" s="23" t="e">
        <f t="shared" ca="1" si="21"/>
        <v>#N/A</v>
      </c>
      <c r="AG60" s="23" t="e">
        <f t="shared" ca="1" si="22"/>
        <v>#N/A</v>
      </c>
      <c r="AH60" s="23" t="e">
        <f t="shared" ca="1" si="23"/>
        <v>#N/A</v>
      </c>
      <c r="AI60" s="23" t="e">
        <f t="shared" ca="1" si="24"/>
        <v>#N/A</v>
      </c>
    </row>
    <row r="61" spans="1:35" x14ac:dyDescent="0.2">
      <c r="W61" s="43" t="e">
        <v>#N/A</v>
      </c>
      <c r="X61" s="43" t="e">
        <v>#N/A</v>
      </c>
      <c r="Y61" s="43" t="e">
        <v>#N/A</v>
      </c>
      <c r="Z61" s="23" t="e">
        <f t="shared" ca="1" si="15"/>
        <v>#N/A</v>
      </c>
      <c r="AA61" s="23" t="e">
        <f t="shared" ca="1" si="16"/>
        <v>#N/A</v>
      </c>
      <c r="AB61" s="23" t="e">
        <f t="shared" ca="1" si="17"/>
        <v>#N/A</v>
      </c>
      <c r="AC61" s="23" t="e">
        <f t="shared" ca="1" si="18"/>
        <v>#N/A</v>
      </c>
      <c r="AD61" s="23" t="e">
        <f t="shared" ca="1" si="19"/>
        <v>#N/A</v>
      </c>
      <c r="AE61" s="23" t="e">
        <f t="shared" ca="1" si="20"/>
        <v>#N/A</v>
      </c>
      <c r="AF61" s="23" t="e">
        <f t="shared" ca="1" si="21"/>
        <v>#N/A</v>
      </c>
      <c r="AG61" s="23" t="e">
        <f t="shared" ca="1" si="22"/>
        <v>#N/A</v>
      </c>
      <c r="AH61" s="23" t="e">
        <f t="shared" ca="1" si="23"/>
        <v>#N/A</v>
      </c>
      <c r="AI61" s="23" t="e">
        <f t="shared" ca="1" si="24"/>
        <v>#N/A</v>
      </c>
    </row>
    <row r="62" spans="1:35" x14ac:dyDescent="0.2">
      <c r="W62" s="43" t="e">
        <v>#N/A</v>
      </c>
      <c r="X62" s="43" t="e">
        <v>#N/A</v>
      </c>
      <c r="Y62" s="43" t="e">
        <v>#N/A</v>
      </c>
      <c r="Z62" s="23" t="e">
        <f t="shared" ca="1" si="15"/>
        <v>#N/A</v>
      </c>
      <c r="AA62" s="23" t="e">
        <f t="shared" ca="1" si="16"/>
        <v>#N/A</v>
      </c>
      <c r="AB62" s="23" t="e">
        <f t="shared" ca="1" si="17"/>
        <v>#N/A</v>
      </c>
      <c r="AC62" s="23" t="e">
        <f t="shared" ca="1" si="18"/>
        <v>#N/A</v>
      </c>
      <c r="AD62" s="23" t="e">
        <f t="shared" ca="1" si="19"/>
        <v>#N/A</v>
      </c>
      <c r="AE62" s="23" t="e">
        <f t="shared" ca="1" si="20"/>
        <v>#N/A</v>
      </c>
      <c r="AF62" s="23" t="e">
        <f t="shared" ca="1" si="21"/>
        <v>#N/A</v>
      </c>
      <c r="AG62" s="23" t="e">
        <f t="shared" ca="1" si="22"/>
        <v>#N/A</v>
      </c>
      <c r="AH62" s="23" t="e">
        <f t="shared" ca="1" si="23"/>
        <v>#N/A</v>
      </c>
      <c r="AI62" s="23" t="e">
        <f t="shared" ca="1" si="24"/>
        <v>#N/A</v>
      </c>
    </row>
    <row r="63" spans="1:35" x14ac:dyDescent="0.2">
      <c r="W63" s="43" t="e">
        <v>#N/A</v>
      </c>
      <c r="X63" s="43" t="e">
        <v>#N/A</v>
      </c>
      <c r="Y63" s="43" t="e">
        <v>#N/A</v>
      </c>
      <c r="Z63" s="23" t="e">
        <f t="shared" ca="1" si="15"/>
        <v>#N/A</v>
      </c>
      <c r="AA63" s="23" t="e">
        <f t="shared" ca="1" si="16"/>
        <v>#N/A</v>
      </c>
      <c r="AB63" s="23" t="e">
        <f t="shared" ca="1" si="17"/>
        <v>#N/A</v>
      </c>
      <c r="AC63" s="23" t="e">
        <f t="shared" ca="1" si="18"/>
        <v>#N/A</v>
      </c>
      <c r="AD63" s="23" t="e">
        <f t="shared" ca="1" si="19"/>
        <v>#N/A</v>
      </c>
      <c r="AE63" s="23" t="e">
        <f t="shared" ca="1" si="20"/>
        <v>#N/A</v>
      </c>
      <c r="AF63" s="23" t="e">
        <f t="shared" ca="1" si="21"/>
        <v>#N/A</v>
      </c>
      <c r="AG63" s="23" t="e">
        <f t="shared" ca="1" si="22"/>
        <v>#N/A</v>
      </c>
      <c r="AH63" s="23" t="e">
        <f t="shared" ca="1" si="23"/>
        <v>#N/A</v>
      </c>
      <c r="AI63" s="23" t="e">
        <f t="shared" ca="1" si="24"/>
        <v>#N/A</v>
      </c>
    </row>
    <row r="64" spans="1:35" x14ac:dyDescent="0.2">
      <c r="W64" s="43" t="e">
        <v>#N/A</v>
      </c>
      <c r="X64" s="43" t="e">
        <v>#N/A</v>
      </c>
      <c r="Y64" s="43" t="e">
        <v>#N/A</v>
      </c>
      <c r="Z64" s="23" t="e">
        <f t="shared" ca="1" si="15"/>
        <v>#N/A</v>
      </c>
      <c r="AA64" s="23" t="e">
        <f t="shared" ca="1" si="16"/>
        <v>#N/A</v>
      </c>
      <c r="AB64" s="23" t="e">
        <f t="shared" ca="1" si="17"/>
        <v>#N/A</v>
      </c>
      <c r="AC64" s="23" t="e">
        <f t="shared" ca="1" si="18"/>
        <v>#N/A</v>
      </c>
      <c r="AD64" s="23" t="e">
        <f t="shared" ca="1" si="19"/>
        <v>#N/A</v>
      </c>
      <c r="AE64" s="23" t="e">
        <f t="shared" ca="1" si="20"/>
        <v>#N/A</v>
      </c>
      <c r="AF64" s="23" t="e">
        <f t="shared" ca="1" si="21"/>
        <v>#N/A</v>
      </c>
      <c r="AG64" s="23" t="e">
        <f t="shared" ca="1" si="22"/>
        <v>#N/A</v>
      </c>
      <c r="AH64" s="23" t="e">
        <f t="shared" ca="1" si="23"/>
        <v>#N/A</v>
      </c>
      <c r="AI64" s="23" t="e">
        <f t="shared" ca="1" si="24"/>
        <v>#N/A</v>
      </c>
    </row>
    <row r="65" spans="23:35" x14ac:dyDescent="0.2">
      <c r="W65" s="43" t="e">
        <v>#N/A</v>
      </c>
      <c r="X65" s="43" t="e">
        <v>#N/A</v>
      </c>
      <c r="Y65" s="43" t="e">
        <v>#N/A</v>
      </c>
      <c r="Z65" s="23" t="e">
        <f t="shared" ca="1" si="15"/>
        <v>#N/A</v>
      </c>
      <c r="AA65" s="23" t="e">
        <f t="shared" ca="1" si="16"/>
        <v>#N/A</v>
      </c>
      <c r="AB65" s="23" t="e">
        <f t="shared" ca="1" si="17"/>
        <v>#N/A</v>
      </c>
      <c r="AC65" s="23" t="e">
        <f t="shared" ca="1" si="18"/>
        <v>#N/A</v>
      </c>
      <c r="AD65" s="23" t="e">
        <f t="shared" ca="1" si="19"/>
        <v>#N/A</v>
      </c>
      <c r="AE65" s="23" t="e">
        <f t="shared" ca="1" si="20"/>
        <v>#N/A</v>
      </c>
      <c r="AF65" s="23" t="e">
        <f t="shared" ca="1" si="21"/>
        <v>#N/A</v>
      </c>
      <c r="AG65" s="23" t="e">
        <f t="shared" ca="1" si="22"/>
        <v>#N/A</v>
      </c>
      <c r="AH65" s="23" t="e">
        <f t="shared" ca="1" si="23"/>
        <v>#N/A</v>
      </c>
      <c r="AI65" s="23" t="e">
        <f t="shared" ca="1" si="24"/>
        <v>#N/A</v>
      </c>
    </row>
    <row r="66" spans="23:35" x14ac:dyDescent="0.2">
      <c r="W66" s="43" t="e">
        <v>#N/A</v>
      </c>
      <c r="X66" s="43" t="e">
        <v>#N/A</v>
      </c>
      <c r="Y66" s="43" t="e">
        <v>#N/A</v>
      </c>
      <c r="Z66" s="23" t="e">
        <f t="shared" ca="1" si="15"/>
        <v>#N/A</v>
      </c>
      <c r="AA66" s="23" t="e">
        <f t="shared" ca="1" si="16"/>
        <v>#N/A</v>
      </c>
      <c r="AB66" s="23" t="e">
        <f t="shared" ca="1" si="17"/>
        <v>#N/A</v>
      </c>
      <c r="AC66" s="23" t="e">
        <f t="shared" ca="1" si="18"/>
        <v>#N/A</v>
      </c>
      <c r="AD66" s="23" t="e">
        <f t="shared" ca="1" si="19"/>
        <v>#N/A</v>
      </c>
      <c r="AE66" s="23" t="e">
        <f t="shared" ca="1" si="20"/>
        <v>#N/A</v>
      </c>
      <c r="AF66" s="23" t="e">
        <f t="shared" ca="1" si="21"/>
        <v>#N/A</v>
      </c>
      <c r="AG66" s="23" t="e">
        <f t="shared" ca="1" si="22"/>
        <v>#N/A</v>
      </c>
      <c r="AH66" s="23" t="e">
        <f t="shared" ca="1" si="23"/>
        <v>#N/A</v>
      </c>
      <c r="AI66" s="23" t="e">
        <f t="shared" ca="1" si="24"/>
        <v>#N/A</v>
      </c>
    </row>
    <row r="67" spans="23:35" x14ac:dyDescent="0.2">
      <c r="W67" s="43" t="e">
        <v>#N/A</v>
      </c>
      <c r="X67" s="43" t="e">
        <v>#N/A</v>
      </c>
      <c r="Y67" s="43" t="e">
        <v>#N/A</v>
      </c>
      <c r="Z67" s="23" t="e">
        <f t="shared" ca="1" si="15"/>
        <v>#N/A</v>
      </c>
      <c r="AA67" s="23" t="e">
        <f t="shared" ca="1" si="16"/>
        <v>#N/A</v>
      </c>
      <c r="AB67" s="23" t="e">
        <f t="shared" ca="1" si="17"/>
        <v>#N/A</v>
      </c>
      <c r="AC67" s="23" t="e">
        <f t="shared" ca="1" si="18"/>
        <v>#N/A</v>
      </c>
      <c r="AD67" s="23" t="e">
        <f t="shared" ca="1" si="19"/>
        <v>#N/A</v>
      </c>
      <c r="AE67" s="23" t="e">
        <f t="shared" ca="1" si="20"/>
        <v>#N/A</v>
      </c>
      <c r="AF67" s="23" t="e">
        <f t="shared" ca="1" si="21"/>
        <v>#N/A</v>
      </c>
      <c r="AG67" s="23" t="e">
        <f t="shared" ca="1" si="22"/>
        <v>#N/A</v>
      </c>
      <c r="AH67" s="23" t="e">
        <f t="shared" ca="1" si="23"/>
        <v>#N/A</v>
      </c>
      <c r="AI67" s="23" t="e">
        <f t="shared" ca="1" si="24"/>
        <v>#N/A</v>
      </c>
    </row>
    <row r="68" spans="23:35" x14ac:dyDescent="0.2">
      <c r="W68" s="43" t="e">
        <v>#N/A</v>
      </c>
      <c r="X68" s="43" t="e">
        <v>#N/A</v>
      </c>
      <c r="Y68" s="43" t="e">
        <v>#N/A</v>
      </c>
      <c r="Z68" s="23" t="e">
        <f t="shared" ca="1" si="15"/>
        <v>#N/A</v>
      </c>
      <c r="AA68" s="23" t="e">
        <f t="shared" ca="1" si="16"/>
        <v>#N/A</v>
      </c>
      <c r="AB68" s="23" t="e">
        <f t="shared" ca="1" si="17"/>
        <v>#N/A</v>
      </c>
      <c r="AC68" s="23" t="e">
        <f t="shared" ca="1" si="18"/>
        <v>#N/A</v>
      </c>
      <c r="AD68" s="23" t="e">
        <f t="shared" ca="1" si="19"/>
        <v>#N/A</v>
      </c>
      <c r="AE68" s="23" t="e">
        <f t="shared" ca="1" si="20"/>
        <v>#N/A</v>
      </c>
      <c r="AF68" s="23" t="e">
        <f t="shared" ca="1" si="21"/>
        <v>#N/A</v>
      </c>
      <c r="AG68" s="23" t="e">
        <f t="shared" ca="1" si="22"/>
        <v>#N/A</v>
      </c>
      <c r="AH68" s="23" t="e">
        <f t="shared" ca="1" si="23"/>
        <v>#N/A</v>
      </c>
      <c r="AI68" s="23" t="e">
        <f t="shared" ca="1" si="24"/>
        <v>#N/A</v>
      </c>
    </row>
    <row r="69" spans="23:35" x14ac:dyDescent="0.2">
      <c r="W69" s="43" t="e">
        <v>#N/A</v>
      </c>
      <c r="X69" s="43" t="e">
        <v>#N/A</v>
      </c>
      <c r="Y69" s="43" t="e">
        <v>#N/A</v>
      </c>
      <c r="Z69" s="23" t="e">
        <f t="shared" ca="1" si="15"/>
        <v>#N/A</v>
      </c>
      <c r="AA69" s="23" t="e">
        <f t="shared" ca="1" si="16"/>
        <v>#N/A</v>
      </c>
      <c r="AB69" s="23" t="e">
        <f t="shared" ca="1" si="17"/>
        <v>#N/A</v>
      </c>
      <c r="AC69" s="23" t="e">
        <f t="shared" ca="1" si="18"/>
        <v>#N/A</v>
      </c>
      <c r="AD69" s="23" t="e">
        <f t="shared" ca="1" si="19"/>
        <v>#N/A</v>
      </c>
      <c r="AE69" s="23" t="e">
        <f t="shared" ca="1" si="20"/>
        <v>#N/A</v>
      </c>
      <c r="AF69" s="23" t="e">
        <f t="shared" ca="1" si="21"/>
        <v>#N/A</v>
      </c>
      <c r="AG69" s="23" t="e">
        <f t="shared" ca="1" si="22"/>
        <v>#N/A</v>
      </c>
      <c r="AH69" s="23" t="e">
        <f t="shared" ca="1" si="23"/>
        <v>#N/A</v>
      </c>
      <c r="AI69" s="23" t="e">
        <f t="shared" ca="1" si="24"/>
        <v>#N/A</v>
      </c>
    </row>
    <row r="70" spans="23:35" x14ac:dyDescent="0.2">
      <c r="W70" s="43" t="e">
        <v>#N/A</v>
      </c>
      <c r="X70" s="43" t="e">
        <v>#N/A</v>
      </c>
      <c r="Y70" s="43" t="e">
        <v>#N/A</v>
      </c>
      <c r="Z70" s="23" t="e">
        <f t="shared" ca="1" si="15"/>
        <v>#N/A</v>
      </c>
      <c r="AA70" s="23" t="e">
        <f t="shared" ca="1" si="16"/>
        <v>#N/A</v>
      </c>
      <c r="AB70" s="23" t="e">
        <f t="shared" ca="1" si="17"/>
        <v>#N/A</v>
      </c>
      <c r="AC70" s="23" t="e">
        <f t="shared" ca="1" si="18"/>
        <v>#N/A</v>
      </c>
      <c r="AD70" s="23" t="e">
        <f t="shared" ca="1" si="19"/>
        <v>#N/A</v>
      </c>
      <c r="AE70" s="23" t="e">
        <f t="shared" ca="1" si="20"/>
        <v>#N/A</v>
      </c>
      <c r="AF70" s="23" t="e">
        <f t="shared" ca="1" si="21"/>
        <v>#N/A</v>
      </c>
      <c r="AG70" s="23" t="e">
        <f t="shared" ca="1" si="22"/>
        <v>#N/A</v>
      </c>
      <c r="AH70" s="23" t="e">
        <f t="shared" ca="1" si="23"/>
        <v>#N/A</v>
      </c>
      <c r="AI70" s="23" t="e">
        <f t="shared" ca="1" si="24"/>
        <v>#N/A</v>
      </c>
    </row>
    <row r="71" spans="23:35" x14ac:dyDescent="0.2">
      <c r="W71" s="43" t="e">
        <v>#N/A</v>
      </c>
      <c r="X71" s="43" t="e">
        <v>#N/A</v>
      </c>
      <c r="Y71" s="43" t="e">
        <v>#N/A</v>
      </c>
      <c r="Z71" s="23" t="e">
        <f t="shared" ca="1" si="15"/>
        <v>#N/A</v>
      </c>
      <c r="AA71" s="23" t="e">
        <f t="shared" ca="1" si="16"/>
        <v>#N/A</v>
      </c>
      <c r="AB71" s="23" t="e">
        <f t="shared" ca="1" si="17"/>
        <v>#N/A</v>
      </c>
      <c r="AC71" s="23" t="e">
        <f t="shared" ca="1" si="18"/>
        <v>#N/A</v>
      </c>
      <c r="AD71" s="23" t="e">
        <f t="shared" ca="1" si="19"/>
        <v>#N/A</v>
      </c>
      <c r="AE71" s="23" t="e">
        <f t="shared" ca="1" si="20"/>
        <v>#N/A</v>
      </c>
      <c r="AF71" s="23" t="e">
        <f t="shared" ca="1" si="21"/>
        <v>#N/A</v>
      </c>
      <c r="AG71" s="23" t="e">
        <f t="shared" ca="1" si="22"/>
        <v>#N/A</v>
      </c>
      <c r="AH71" s="23" t="e">
        <f t="shared" ca="1" si="23"/>
        <v>#N/A</v>
      </c>
      <c r="AI71" s="23" t="e">
        <f t="shared" ca="1" si="24"/>
        <v>#N/A</v>
      </c>
    </row>
    <row r="72" spans="23:35" x14ac:dyDescent="0.2">
      <c r="W72" s="44" t="e">
        <v>#N/A</v>
      </c>
      <c r="X72" s="44" t="e">
        <v>#N/A</v>
      </c>
      <c r="Y72" s="44" t="e">
        <v>#N/A</v>
      </c>
      <c r="Z72" s="27" t="e">
        <f t="shared" ca="1" si="15"/>
        <v>#N/A</v>
      </c>
      <c r="AA72" s="27" t="e">
        <f t="shared" ca="1" si="16"/>
        <v>#N/A</v>
      </c>
      <c r="AB72" s="27" t="e">
        <f t="shared" ca="1" si="17"/>
        <v>#N/A</v>
      </c>
      <c r="AC72" s="27" t="e">
        <f t="shared" ca="1" si="18"/>
        <v>#N/A</v>
      </c>
      <c r="AD72" s="27" t="e">
        <f t="shared" ca="1" si="19"/>
        <v>#N/A</v>
      </c>
      <c r="AE72" s="27" t="e">
        <f t="shared" ca="1" si="20"/>
        <v>#N/A</v>
      </c>
      <c r="AF72" s="27" t="e">
        <f t="shared" ca="1" si="21"/>
        <v>#N/A</v>
      </c>
      <c r="AG72" s="27" t="e">
        <f t="shared" ca="1" si="22"/>
        <v>#N/A</v>
      </c>
      <c r="AH72" s="27" t="e">
        <f t="shared" ca="1" si="23"/>
        <v>#N/A</v>
      </c>
      <c r="AI72" s="27" t="e">
        <f t="shared" ca="1" si="24"/>
        <v>#N/A</v>
      </c>
    </row>
  </sheetData>
  <conditionalFormatting sqref="H45:I55">
    <cfRule type="containsErrors" dxfId="9" priority="3">
      <formula>ISERROR(H45)</formula>
    </cfRule>
  </conditionalFormatting>
  <conditionalFormatting sqref="J45:K55">
    <cfRule type="containsErrors" dxfId="8" priority="2">
      <formula>ISERROR(J45)</formula>
    </cfRule>
  </conditionalFormatting>
  <conditionalFormatting sqref="W45:AI72">
    <cfRule type="containsErrors" dxfId="7" priority="1">
      <formula>ISERROR(W45)</formula>
    </cfRule>
  </conditionalFormatting>
  <printOptions horizontalCentered="1" verticalCentered="1"/>
  <pageMargins left="0.59055118110236227" right="0.59055118110236227" top="0.59055118110236227" bottom="0.59055118110236227" header="0.39370078740157483" footer="0.39370078740157483"/>
  <pageSetup orientation="landscape" r:id="rId1"/>
  <ignoredErrors>
    <ignoredError sqref="J45:K55 Z45:AI72" evalError="1"/>
  </ignoredErrors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Fill="0" autoLine="0" r:id="rId5">
            <anchor moveWithCells="1">
              <from>
                <xdr:col>8</xdr:col>
                <xdr:colOff>95250</xdr:colOff>
                <xdr:row>17</xdr:row>
                <xdr:rowOff>19050</xdr:rowOff>
              </from>
              <to>
                <xdr:col>10</xdr:col>
                <xdr:colOff>295275</xdr:colOff>
                <xdr:row>18</xdr:row>
                <xdr:rowOff>133350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13</xdr:col>
                <xdr:colOff>123825</xdr:colOff>
                <xdr:row>12</xdr:row>
                <xdr:rowOff>9525</xdr:rowOff>
              </from>
              <to>
                <xdr:col>15</xdr:col>
                <xdr:colOff>323850</xdr:colOff>
                <xdr:row>13</xdr:row>
                <xdr:rowOff>142875</xdr:rowOff>
              </to>
            </anchor>
          </controlPr>
        </control>
      </mc:Choice>
      <mc:Fallback>
        <control shapeId="11266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E6410-C229-4E5B-B4BF-F9B682F178CE}">
  <sheetPr codeName="Sheet10"/>
  <dimension ref="A1:AS72"/>
  <sheetViews>
    <sheetView zoomScale="85" zoomScaleNormal="85" workbookViewId="0">
      <selection activeCell="B15" sqref="B15:B17"/>
    </sheetView>
  </sheetViews>
  <sheetFormatPr defaultColWidth="5.7109375" defaultRowHeight="12.75" x14ac:dyDescent="0.2"/>
  <cols>
    <col min="1" max="19" width="6.5703125" style="2" customWidth="1"/>
    <col min="20" max="20" width="9.42578125" style="2" bestFit="1" customWidth="1"/>
    <col min="21" max="21" width="6.5703125" style="2" customWidth="1"/>
    <col min="22" max="22" width="5.7109375" style="2"/>
    <col min="23" max="23" width="6.7109375" style="2" bestFit="1" customWidth="1"/>
    <col min="24" max="24" width="6.28515625" style="2" customWidth="1"/>
    <col min="25" max="25" width="5.85546875" style="2" bestFit="1" customWidth="1"/>
    <col min="26" max="26" width="6.7109375" style="2" bestFit="1" customWidth="1"/>
    <col min="27" max="27" width="6.5703125" style="2" customWidth="1"/>
    <col min="28" max="39" width="5.85546875" style="2" bestFit="1" customWidth="1"/>
    <col min="40" max="40" width="5.7109375" style="2"/>
    <col min="41" max="44" width="5.85546875" style="2" bestFit="1" customWidth="1"/>
    <col min="45" max="16384" width="5.7109375" style="2"/>
  </cols>
  <sheetData>
    <row r="1" spans="1:44" x14ac:dyDescent="0.2">
      <c r="A1" s="58" t="s">
        <v>24</v>
      </c>
      <c r="B1" s="59"/>
      <c r="C1" s="59"/>
      <c r="D1" s="59"/>
      <c r="E1" s="59"/>
      <c r="F1" s="59"/>
      <c r="G1" s="59"/>
      <c r="H1" s="1"/>
      <c r="I1" s="60" t="s">
        <v>25</v>
      </c>
      <c r="J1" s="59"/>
      <c r="K1" s="59"/>
      <c r="L1" s="59"/>
      <c r="M1" s="59"/>
      <c r="N1" s="59"/>
      <c r="O1" s="59"/>
      <c r="P1" s="59"/>
      <c r="Q1" s="59"/>
      <c r="R1" s="59"/>
      <c r="S1" s="30"/>
      <c r="W1" s="3" t="s">
        <v>5</v>
      </c>
      <c r="X1" s="4">
        <v>0.85</v>
      </c>
      <c r="Z1" s="3" t="s">
        <v>26</v>
      </c>
      <c r="AA1" s="5">
        <f ca="1">MAX(OFFSET(AD45,0,0,COUNT($AD$45:$AD$72)))</f>
        <v>66.512832311243088</v>
      </c>
      <c r="AC1" s="6" t="s">
        <v>13</v>
      </c>
      <c r="AD1" s="7">
        <f>MIN(Q3:Q42)</f>
        <v>-220.53742980957031</v>
      </c>
      <c r="AI1" s="6" t="s">
        <v>13</v>
      </c>
      <c r="AJ1" s="7">
        <f>MAX(Q3:Q42)</f>
        <v>-112.76921844482422</v>
      </c>
    </row>
    <row r="2" spans="1:44" x14ac:dyDescent="0.2">
      <c r="A2" s="8" t="s">
        <v>126</v>
      </c>
      <c r="B2" s="9"/>
      <c r="C2" s="9"/>
      <c r="D2" s="9"/>
      <c r="E2" s="9"/>
      <c r="F2" s="9"/>
      <c r="G2" s="9"/>
      <c r="H2" s="9"/>
      <c r="I2" s="8" t="s">
        <v>123</v>
      </c>
      <c r="J2" s="9"/>
      <c r="K2" s="9"/>
      <c r="L2" s="9"/>
      <c r="M2" s="9"/>
      <c r="N2" s="9"/>
      <c r="O2" s="9"/>
      <c r="P2" s="10"/>
      <c r="Q2" s="6" t="s">
        <v>13</v>
      </c>
      <c r="R2" s="6" t="s">
        <v>19</v>
      </c>
      <c r="S2" s="6" t="s">
        <v>20</v>
      </c>
      <c r="T2" s="6" t="s">
        <v>22</v>
      </c>
      <c r="U2" s="6" t="s">
        <v>32</v>
      </c>
      <c r="W2" s="3" t="s">
        <v>33</v>
      </c>
      <c r="X2" s="4">
        <v>0.65</v>
      </c>
      <c r="Z2" s="3" t="s">
        <v>34</v>
      </c>
      <c r="AA2" s="5">
        <f ca="1">AA1/(1-X4/X5)</f>
        <v>24.942312116716156</v>
      </c>
      <c r="AC2" s="6" t="s">
        <v>18</v>
      </c>
      <c r="AD2" s="6" t="s">
        <v>35</v>
      </c>
      <c r="AE2" s="6" t="s">
        <v>13</v>
      </c>
      <c r="AF2" s="6" t="s">
        <v>19</v>
      </c>
      <c r="AG2" s="6" t="s">
        <v>20</v>
      </c>
      <c r="AI2" s="6" t="s">
        <v>18</v>
      </c>
      <c r="AJ2" s="6" t="s">
        <v>35</v>
      </c>
      <c r="AK2" s="6" t="s">
        <v>13</v>
      </c>
      <c r="AL2" s="6" t="s">
        <v>19</v>
      </c>
      <c r="AM2" s="6" t="s">
        <v>20</v>
      </c>
      <c r="AO2" s="6" t="s">
        <v>13</v>
      </c>
      <c r="AP2" s="6" t="s">
        <v>19</v>
      </c>
      <c r="AQ2" s="6" t="s">
        <v>20</v>
      </c>
      <c r="AR2" s="6" t="s">
        <v>32</v>
      </c>
    </row>
    <row r="3" spans="1:44" x14ac:dyDescent="0.2">
      <c r="A3" s="11" t="s">
        <v>3</v>
      </c>
      <c r="B3" s="12">
        <v>0.28000000000000003</v>
      </c>
      <c r="C3" s="13"/>
      <c r="D3" s="13"/>
      <c r="E3" s="13"/>
      <c r="F3" s="13"/>
      <c r="G3" s="13"/>
      <c r="H3" s="13"/>
      <c r="I3" s="6" t="s">
        <v>27</v>
      </c>
      <c r="J3" s="6" t="s">
        <v>29</v>
      </c>
      <c r="K3" s="6" t="s">
        <v>28</v>
      </c>
      <c r="L3" s="6" t="s">
        <v>30</v>
      </c>
      <c r="M3" s="6" t="s">
        <v>31</v>
      </c>
      <c r="N3" s="13"/>
      <c r="O3" s="13"/>
      <c r="P3" s="14"/>
      <c r="Q3" s="17">
        <v>-193.47468566894531</v>
      </c>
      <c r="R3" s="17">
        <v>1899.5633544921875</v>
      </c>
      <c r="S3" s="17">
        <v>746.16998291015625</v>
      </c>
      <c r="T3" s="18" t="s">
        <v>192</v>
      </c>
      <c r="U3" s="18">
        <f>IF(COUNT(Q3),S3*COS($X$6)+R3*SIN($X$6),"")</f>
        <v>1766.4990672319943</v>
      </c>
      <c r="W3" s="3" t="s">
        <v>36</v>
      </c>
      <c r="X3" s="4">
        <v>0.9</v>
      </c>
      <c r="Z3" s="3" t="s">
        <v>37</v>
      </c>
      <c r="AA3" s="5">
        <f ca="1">AA1/(1-X7/X5)</f>
        <v>39.90770011167821</v>
      </c>
      <c r="AC3" s="18">
        <v>0</v>
      </c>
      <c r="AD3" s="18">
        <f t="shared" ref="AD3:AD38" si="0">XCOMPRESSL1($B$4,$B$5,$B$6,$B$15,$B$16,$B$17,$B$18,$B$11,$B$12,$B$13,$B$7,$B$8,AC3,$AD$1,$B$3,$B$14)</f>
        <v>45.428543090820313</v>
      </c>
      <c r="AE3" s="18">
        <f t="array" ref="AE3:AG3">FLEXCOMPBIAXL1($B$4,$B$5,$B$6,$B$15,$B$16,$B$17,$B$18,$B$11,$B$12,$B$13,$B$7,$B$8,AC3,AD3,$B$3,$B$14)</f>
        <v>-220.55423001664863</v>
      </c>
      <c r="AF3" s="18">
        <v>1706.8905199643441</v>
      </c>
      <c r="AG3" s="18">
        <v>3075.5698153602771</v>
      </c>
      <c r="AI3" s="18">
        <v>0</v>
      </c>
      <c r="AJ3" s="18">
        <f t="shared" ref="AJ3:AJ39" si="1">XCOMPRESSL1($B$4,$B$5,$B$6,$B$15,$B$16,$B$17,$B$18,$B$11,$B$12,$B$13,$B$7,$B$8,AI3,$AJ$1,$B$3,$B$14)</f>
        <v>34.249954223632813</v>
      </c>
      <c r="AK3" s="18">
        <f t="array" ref="AK3:AM3">FLEXCOMPBIAXL1($B$4,$B$5,$B$6,$B$15,$B$16,$B$17,$B$18,$B$11,$B$12,$B$13,$B$7,$B$8,AI3,AJ3,$B$3,$B$14)</f>
        <v>-112.7592233438355</v>
      </c>
      <c r="AL3" s="18">
        <v>2016.7695207402267</v>
      </c>
      <c r="AM3" s="18">
        <v>3729.7293705027341</v>
      </c>
      <c r="AO3" s="18">
        <f t="array" ref="AO3:AQ16">DIAGRAFLEXCOMPL1(B4,B5,B6,B15,B16,B17,B18,B11,B12,B13,B7,B8,B9,B3,B14)</f>
        <v>213.75395444302745</v>
      </c>
      <c r="AP3" s="18">
        <v>375.76356692085272</v>
      </c>
      <c r="AQ3" s="18">
        <v>207.86920723281159</v>
      </c>
      <c r="AR3" s="18">
        <f>AQ3*COS($X$6)+AP3*SIN($X$6)</f>
        <v>340.42216631604754</v>
      </c>
    </row>
    <row r="4" spans="1:44" x14ac:dyDescent="0.2">
      <c r="A4" s="11" t="s">
        <v>0</v>
      </c>
      <c r="B4" s="12">
        <v>0.20999999344348907</v>
      </c>
      <c r="C4" s="13"/>
      <c r="D4" s="13"/>
      <c r="E4" s="13"/>
      <c r="F4" s="13"/>
      <c r="G4" s="13"/>
      <c r="H4" s="13"/>
      <c r="I4" s="19">
        <f t="array" ref="I4:K4">FLEXCOMPBIAXL1($B$4,$B$5,$B$6,$B$15,$B$16,$B$17,$B$18,$B$11,$B$12,$B$13,$B$7,$B$8,$B$9,$B$10,$B$3,$B$14)</f>
        <v>-194.17897562656128</v>
      </c>
      <c r="J4" s="19">
        <v>4972.30527483694</v>
      </c>
      <c r="K4" s="19">
        <v>1279.0397863438934</v>
      </c>
      <c r="L4" s="7">
        <f>K4*COS($X$6)+J4*SIN($X$6)</f>
        <v>4724.8862604774786</v>
      </c>
      <c r="M4" s="7">
        <f>SQRT(I4^2+J4^2+K4^2)</f>
        <v>5137.8466302330662</v>
      </c>
      <c r="N4" s="13"/>
      <c r="O4" s="13"/>
      <c r="P4" s="14"/>
      <c r="Q4" s="22">
        <v>-195.07479858398438</v>
      </c>
      <c r="R4" s="22">
        <v>-1394.5313720703125</v>
      </c>
      <c r="S4" s="22">
        <v>1161.10400390625</v>
      </c>
      <c r="T4" s="23" t="s">
        <v>192</v>
      </c>
      <c r="U4" s="23">
        <f t="shared" ref="U4:U42" si="2">IF(COUNT(Q4),S4*COS($X$6)+R4*SIN($X$6),"")</f>
        <v>-1552.5951162061833</v>
      </c>
      <c r="W4" s="3" t="s">
        <v>7</v>
      </c>
      <c r="X4" s="4">
        <v>5</v>
      </c>
      <c r="Z4" s="3" t="s">
        <v>39</v>
      </c>
      <c r="AA4" s="5">
        <f ca="1">IF(B10&lt;AA2,X4/(B10-AA1),X5/B10)</f>
        <v>-8.6765627625816216E-2</v>
      </c>
      <c r="AC4" s="23">
        <v>10</v>
      </c>
      <c r="AD4" s="23">
        <f t="shared" si="0"/>
        <v>51.396427366826458</v>
      </c>
      <c r="AE4" s="23">
        <f t="array" ref="AE4:AG4">FLEXCOMPBIAXL1($B$4,$B$5,$B$6,$B$15,$B$16,$B$17,$B$18,$B$11,$B$12,$B$13,$B$7,$B$8,AC4,AD4,$B$3,$B$14)</f>
        <v>-220.55475016960688</v>
      </c>
      <c r="AF4" s="23">
        <v>2431.8514188165937</v>
      </c>
      <c r="AG4" s="23">
        <v>3017.8822520149824</v>
      </c>
      <c r="AI4" s="23">
        <v>10</v>
      </c>
      <c r="AJ4" s="23">
        <f t="shared" si="1"/>
        <v>38.038557724933341</v>
      </c>
      <c r="AK4" s="23">
        <f t="array" ref="AK4:AM4">FLEXCOMPBIAXL1($B$4,$B$5,$B$6,$B$15,$B$16,$B$17,$B$18,$B$11,$B$12,$B$13,$B$7,$B$8,AI4,AJ4,$B$3,$B$14)</f>
        <v>-112.75680217779097</v>
      </c>
      <c r="AL4" s="23">
        <v>2452.4294615881267</v>
      </c>
      <c r="AM4" s="23">
        <v>3741.1761851296719</v>
      </c>
      <c r="AO4" s="23">
        <v>169.79889809013721</v>
      </c>
      <c r="AP4" s="23">
        <v>1315.074638805324</v>
      </c>
      <c r="AQ4" s="23">
        <v>260.56523914612728</v>
      </c>
      <c r="AR4" s="23">
        <f t="shared" ref="AR4:AR30" si="3">AQ4*COS($X$6)+AP4*SIN($X$6)</f>
        <v>1261.2680245167444</v>
      </c>
    </row>
    <row r="5" spans="1:44" x14ac:dyDescent="0.2">
      <c r="A5" s="11" t="s">
        <v>1</v>
      </c>
      <c r="B5" s="12">
        <v>4.1999998092651367</v>
      </c>
      <c r="C5" s="13"/>
      <c r="D5" s="13"/>
      <c r="E5" s="13"/>
      <c r="F5" s="13"/>
      <c r="G5" s="13"/>
      <c r="H5" s="13"/>
      <c r="I5" s="7">
        <f>I4/M4</f>
        <v>-3.7793844309002428E-2</v>
      </c>
      <c r="J5" s="7">
        <f>J4/M4</f>
        <v>0.96778001226778221</v>
      </c>
      <c r="K5" s="7">
        <f>K4/M4</f>
        <v>0.24894471913924623</v>
      </c>
      <c r="L5" s="13"/>
      <c r="M5" s="13"/>
      <c r="N5" s="13"/>
      <c r="O5" s="13"/>
      <c r="P5" s="14"/>
      <c r="Q5" s="22">
        <v>-218.93733215332031</v>
      </c>
      <c r="R5" s="22">
        <v>1772.7008056640625</v>
      </c>
      <c r="S5" s="22">
        <v>17.301162719726563</v>
      </c>
      <c r="T5" s="23" t="s">
        <v>23</v>
      </c>
      <c r="U5" s="23">
        <f t="shared" si="2"/>
        <v>1750.1468679287152</v>
      </c>
      <c r="W5" s="3" t="s">
        <v>8</v>
      </c>
      <c r="X5" s="4">
        <v>-3</v>
      </c>
      <c r="Z5" s="3" t="s">
        <v>40</v>
      </c>
      <c r="AA5" s="5">
        <f ca="1">MAX(OFFSET(AE45,0,0,COUNT($AE$45:$AE$72)))</f>
        <v>2.7710276406556744</v>
      </c>
      <c r="AC5" s="23">
        <v>20</v>
      </c>
      <c r="AD5" s="23">
        <f t="shared" si="0"/>
        <v>54.453197136875787</v>
      </c>
      <c r="AE5" s="23">
        <f t="array" ref="AE5:AG5">FLEXCOMPBIAXL1($B$4,$B$5,$B$6,$B$15,$B$16,$B$17,$B$18,$B$11,$B$12,$B$13,$B$7,$B$8,AC5,AD5,$B$3,$B$14)</f>
        <v>-220.55621866571636</v>
      </c>
      <c r="AF5" s="23">
        <v>2837.3265315635322</v>
      </c>
      <c r="AG5" s="23">
        <v>2962.7836362068929</v>
      </c>
      <c r="AI5" s="23">
        <v>20</v>
      </c>
      <c r="AJ5" s="23">
        <f t="shared" si="1"/>
        <v>40.425922467019205</v>
      </c>
      <c r="AK5" s="23">
        <f t="array" ref="AK5:AM5">FLEXCOMPBIAXL1($B$4,$B$5,$B$6,$B$15,$B$16,$B$17,$B$18,$B$11,$B$12,$B$13,$B$7,$B$8,AI5,AJ5,$B$3,$B$14)</f>
        <v>-112.79200314221046</v>
      </c>
      <c r="AL5" s="23">
        <v>2873.6867122489075</v>
      </c>
      <c r="AM5" s="23">
        <v>3787.3324391171159</v>
      </c>
      <c r="AO5" s="23">
        <v>70.986517407810027</v>
      </c>
      <c r="AP5" s="23">
        <v>3428.4316031535163</v>
      </c>
      <c r="AQ5" s="23">
        <v>338.40431042630604</v>
      </c>
      <c r="AR5" s="23">
        <f t="shared" si="3"/>
        <v>3339.1744563289844</v>
      </c>
    </row>
    <row r="6" spans="1:44" x14ac:dyDescent="0.2">
      <c r="A6" s="11" t="s">
        <v>2</v>
      </c>
      <c r="B6" s="12">
        <v>2100</v>
      </c>
      <c r="C6" s="13"/>
      <c r="D6" s="13"/>
      <c r="E6" s="13"/>
      <c r="F6" s="13"/>
      <c r="G6" s="13"/>
      <c r="H6" s="13"/>
      <c r="I6" s="24"/>
      <c r="J6" s="13"/>
      <c r="K6" s="13"/>
      <c r="L6" s="13"/>
      <c r="M6" s="13"/>
      <c r="N6" s="13"/>
      <c r="O6" s="13"/>
      <c r="P6" s="14"/>
      <c r="Q6" s="22">
        <v>-184.29052734375</v>
      </c>
      <c r="R6" s="22">
        <v>1676.9306640625</v>
      </c>
      <c r="S6" s="22">
        <v>17.845218658447266</v>
      </c>
      <c r="T6" s="23" t="s">
        <v>191</v>
      </c>
      <c r="U6" s="23">
        <f t="shared" si="2"/>
        <v>1655.3738945497275</v>
      </c>
      <c r="W6" s="3" t="s">
        <v>43</v>
      </c>
      <c r="X6" s="5">
        <f>RADIANS(B9)</f>
        <v>1.7210194401658077</v>
      </c>
      <c r="Z6" s="3" t="s">
        <v>44</v>
      </c>
      <c r="AA6" s="5">
        <f ca="1">IF(AA5&lt;X7,X2,IF(AA5&gt;X4,X3,X2+(X3-X2)*(AA5-X7)/(X4-X7)))</f>
        <v>0.7142523090115539</v>
      </c>
      <c r="AC6" s="23">
        <v>30</v>
      </c>
      <c r="AD6" s="23">
        <f t="shared" si="0"/>
        <v>55.398188768527675</v>
      </c>
      <c r="AE6" s="23">
        <f t="array" ref="AE6:AG6">FLEXCOMPBIAXL1($B$4,$B$5,$B$6,$B$15,$B$16,$B$17,$B$18,$B$11,$B$12,$B$13,$B$7,$B$8,AC6,AD6,$B$3,$B$14)</f>
        <v>-220.53766931312651</v>
      </c>
      <c r="AF6" s="23">
        <v>3194.4017433941767</v>
      </c>
      <c r="AG6" s="23">
        <v>2891.3173634820514</v>
      </c>
      <c r="AI6" s="23">
        <v>30</v>
      </c>
      <c r="AJ6" s="23">
        <f t="shared" si="1"/>
        <v>41.092527258462908</v>
      </c>
      <c r="AK6" s="23">
        <f t="array" ref="AK6:AM6">FLEXCOMPBIAXL1($B$4,$B$5,$B$6,$B$15,$B$16,$B$17,$B$18,$B$11,$B$12,$B$13,$B$7,$B$8,AI6,AJ6,$B$3,$B$14)</f>
        <v>-112.77433148567717</v>
      </c>
      <c r="AL6" s="23">
        <v>3354.5938650617591</v>
      </c>
      <c r="AM6" s="23">
        <v>3903.3773192973467</v>
      </c>
      <c r="AO6" s="23">
        <v>-11.797686644229799</v>
      </c>
      <c r="AP6" s="23">
        <v>4791.0756508512832</v>
      </c>
      <c r="AQ6" s="23">
        <v>646.77403815337846</v>
      </c>
      <c r="AR6" s="23">
        <f t="shared" si="3"/>
        <v>4640.3217899656183</v>
      </c>
    </row>
    <row r="7" spans="1:44" x14ac:dyDescent="0.2">
      <c r="A7" s="11" t="s">
        <v>109</v>
      </c>
      <c r="B7" s="12">
        <v>3</v>
      </c>
      <c r="C7" s="13"/>
      <c r="D7" s="13"/>
      <c r="E7" s="13"/>
      <c r="F7" s="13"/>
      <c r="G7" s="13"/>
      <c r="H7" s="13"/>
      <c r="I7" s="25" t="s">
        <v>124</v>
      </c>
      <c r="J7" s="13"/>
      <c r="K7" s="13"/>
      <c r="L7" s="13"/>
      <c r="M7" s="13"/>
      <c r="N7" s="13"/>
      <c r="O7" s="13"/>
      <c r="P7" s="14"/>
      <c r="Q7" s="22">
        <v>-193.10365295410156</v>
      </c>
      <c r="R7" s="22">
        <v>1509.0343017578125</v>
      </c>
      <c r="S7" s="22">
        <v>39.045375823974609</v>
      </c>
      <c r="T7" s="23" t="s">
        <v>128</v>
      </c>
      <c r="U7" s="23">
        <f t="shared" si="2"/>
        <v>1486.1956407437385</v>
      </c>
      <c r="W7" s="3" t="s">
        <v>45</v>
      </c>
      <c r="X7" s="5">
        <f>B5/B6*1000</f>
        <v>1.9999999091738747</v>
      </c>
      <c r="Z7" s="3" t="s">
        <v>46</v>
      </c>
      <c r="AA7" s="5">
        <f ca="1">SUM(OFFSET(AG45,0,0,COUNT($AG$45:$AG$72)))</f>
        <v>-20.910441765944558</v>
      </c>
      <c r="AC7" s="23">
        <v>40</v>
      </c>
      <c r="AD7" s="23">
        <f t="shared" si="0"/>
        <v>54.799066137810144</v>
      </c>
      <c r="AE7" s="23">
        <f t="array" ref="AE7:AG7">FLEXCOMPBIAXL1($B$4,$B$5,$B$6,$B$15,$B$16,$B$17,$B$18,$B$11,$B$12,$B$13,$B$7,$B$8,AC7,AD7,$B$3,$B$14)</f>
        <v>-220.54590117606102</v>
      </c>
      <c r="AF7" s="23">
        <v>3532.6033737243979</v>
      </c>
      <c r="AG7" s="23">
        <v>2775.8893186481178</v>
      </c>
      <c r="AI7" s="23">
        <v>40</v>
      </c>
      <c r="AJ7" s="23">
        <f t="shared" si="1"/>
        <v>40.385046509334501</v>
      </c>
      <c r="AK7" s="23">
        <f t="array" ref="AK7:AM7">FLEXCOMPBIAXL1($B$4,$B$5,$B$6,$B$15,$B$16,$B$17,$B$18,$B$11,$B$12,$B$13,$B$7,$B$8,AI7,AJ7,$B$3,$B$14)</f>
        <v>-112.76266586507035</v>
      </c>
      <c r="AL7" s="23">
        <v>3792.0356806177965</v>
      </c>
      <c r="AM7" s="23">
        <v>3944.3668925587913</v>
      </c>
      <c r="AO7" s="23">
        <v>-106.45851107334987</v>
      </c>
      <c r="AP7" s="23">
        <v>6003.1694265222986</v>
      </c>
      <c r="AQ7" s="23">
        <v>1125.7426190381548</v>
      </c>
      <c r="AR7" s="23">
        <f t="shared" si="3"/>
        <v>5767.0827832824361</v>
      </c>
    </row>
    <row r="8" spans="1:44" x14ac:dyDescent="0.2">
      <c r="A8" s="11" t="s">
        <v>4</v>
      </c>
      <c r="B8" s="12">
        <v>15</v>
      </c>
      <c r="C8" s="13"/>
      <c r="D8" s="13"/>
      <c r="E8" s="13"/>
      <c r="F8" s="13"/>
      <c r="G8" s="13"/>
      <c r="H8" s="13"/>
      <c r="I8" s="6" t="s">
        <v>41</v>
      </c>
      <c r="J8" s="6" t="s">
        <v>15</v>
      </c>
      <c r="K8" s="6" t="s">
        <v>14</v>
      </c>
      <c r="L8" s="6" t="s">
        <v>122</v>
      </c>
      <c r="M8" s="6" t="s">
        <v>42</v>
      </c>
      <c r="N8" s="13"/>
      <c r="O8" s="13"/>
      <c r="P8" s="14"/>
      <c r="Q8" s="22">
        <v>-193.0272216796875</v>
      </c>
      <c r="R8" s="22">
        <v>1504.3433837890625</v>
      </c>
      <c r="S8" s="22">
        <v>26.148242950439453</v>
      </c>
      <c r="T8" s="23" t="s">
        <v>204</v>
      </c>
      <c r="U8" s="23">
        <f t="shared" si="2"/>
        <v>1483.4877218598376</v>
      </c>
      <c r="W8" s="3" t="s">
        <v>6</v>
      </c>
      <c r="X8" s="5">
        <f>-X1*B4</f>
        <v>-0.17849999442696571</v>
      </c>
      <c r="Z8" s="3" t="s">
        <v>47</v>
      </c>
      <c r="AA8" s="5">
        <f ca="1">SUM(OFFSET(AH45,0,0,COUNT($AH$45:$AH$72)))</f>
        <v>-3081.6314756263164</v>
      </c>
      <c r="AC8" s="23">
        <v>50</v>
      </c>
      <c r="AD8" s="23">
        <f t="shared" si="0"/>
        <v>52.996748772075271</v>
      </c>
      <c r="AE8" s="23">
        <f t="array" ref="AE8:AG8">FLEXCOMPBIAXL1($B$4,$B$5,$B$6,$B$15,$B$16,$B$17,$B$18,$B$11,$B$12,$B$13,$B$7,$B$8,AC8,AD8,$B$3,$B$14)</f>
        <v>-220.56543550023892</v>
      </c>
      <c r="AF8" s="23">
        <v>3810.7565333162352</v>
      </c>
      <c r="AG8" s="23">
        <v>2669.4085033565216</v>
      </c>
      <c r="AI8" s="23">
        <v>50</v>
      </c>
      <c r="AJ8" s="23">
        <f t="shared" si="1"/>
        <v>38.293154838385625</v>
      </c>
      <c r="AK8" s="23">
        <f t="array" ref="AK8:AM8">FLEXCOMPBIAXL1($B$4,$B$5,$B$6,$B$15,$B$16,$B$17,$B$18,$B$11,$B$12,$B$13,$B$7,$B$8,AI8,AJ8,$B$3,$B$14)</f>
        <v>-112.80359195973173</v>
      </c>
      <c r="AL8" s="23">
        <v>4283.6572422602349</v>
      </c>
      <c r="AM8" s="23">
        <v>3889.5270763319986</v>
      </c>
      <c r="AO8" s="23">
        <v>-155.24802366504977</v>
      </c>
      <c r="AP8" s="23">
        <v>5532.3261011458026</v>
      </c>
      <c r="AQ8" s="23">
        <v>1237.1355475081532</v>
      </c>
      <c r="AR8" s="23">
        <f t="shared" si="3"/>
        <v>5284.8713062262923</v>
      </c>
    </row>
    <row r="9" spans="1:44" x14ac:dyDescent="0.2">
      <c r="A9" s="11" t="s">
        <v>18</v>
      </c>
      <c r="B9" s="12">
        <v>98.607150381468486</v>
      </c>
      <c r="C9" s="13"/>
      <c r="D9" s="13"/>
      <c r="E9" s="13"/>
      <c r="F9" s="13"/>
      <c r="G9" s="13"/>
      <c r="H9" s="13"/>
      <c r="I9" s="26">
        <v>-193.47468566894531</v>
      </c>
      <c r="J9" s="26">
        <v>1899.5633544921875</v>
      </c>
      <c r="K9" s="26">
        <v>746.16998291015625</v>
      </c>
      <c r="L9" s="7">
        <f t="shared" ref="L9" si="4">J9*COS($X$6)+K9*SIN($X$6)</f>
        <v>453.48014932139051</v>
      </c>
      <c r="M9" s="7">
        <f>SQRT(I9^2+J9^2+K9^2)</f>
        <v>2050.0104963439703</v>
      </c>
      <c r="N9" s="13"/>
      <c r="O9" s="13"/>
      <c r="P9" s="14"/>
      <c r="Q9" s="22">
        <v>-192.93278503417969</v>
      </c>
      <c r="R9" s="22">
        <v>1502.942626953125</v>
      </c>
      <c r="S9" s="22">
        <v>26.592620849609375</v>
      </c>
      <c r="T9" s="23" t="s">
        <v>206</v>
      </c>
      <c r="U9" s="23">
        <f t="shared" si="2"/>
        <v>1482.0362357162003</v>
      </c>
      <c r="W9" s="3" t="s">
        <v>48</v>
      </c>
      <c r="X9" s="5">
        <f t="array" ref="X9:X11">MOMENTSPOLY(A45:B51)</f>
        <v>2625</v>
      </c>
      <c r="Z9" s="3" t="s">
        <v>49</v>
      </c>
      <c r="AA9" s="5">
        <f ca="1">SUM(OFFSET(AI45,0,0,COUNT($AI$45:$AI$72)))</f>
        <v>-1352.2032099001299</v>
      </c>
      <c r="AC9" s="23">
        <v>60</v>
      </c>
      <c r="AD9" s="23">
        <f t="shared" si="0"/>
        <v>50.018951868841754</v>
      </c>
      <c r="AE9" s="23">
        <f t="array" ref="AE9:AG9">FLEXCOMPBIAXL1($B$4,$B$5,$B$6,$B$15,$B$16,$B$17,$B$18,$B$11,$B$12,$B$13,$B$7,$B$8,AC9,AD9,$B$3,$B$14)</f>
        <v>-220.51113465380703</v>
      </c>
      <c r="AF9" s="23">
        <v>4058.2131510042836</v>
      </c>
      <c r="AG9" s="23">
        <v>2553.8468417946428</v>
      </c>
      <c r="AI9" s="23">
        <v>60</v>
      </c>
      <c r="AJ9" s="23">
        <f t="shared" si="1"/>
        <v>35.133879765073431</v>
      </c>
      <c r="AK9" s="23">
        <f t="array" ref="AK9:AM9">FLEXCOMPBIAXL1($B$4,$B$5,$B$6,$B$15,$B$16,$B$17,$B$18,$B$11,$B$12,$B$13,$B$7,$B$8,AI9,AJ9,$B$3,$B$14)</f>
        <v>-112.7681885968971</v>
      </c>
      <c r="AL9" s="23">
        <v>4873.0564763345546</v>
      </c>
      <c r="AM9" s="23">
        <v>3586.062233727976</v>
      </c>
      <c r="AO9" s="23">
        <v>-205.36250524522458</v>
      </c>
      <c r="AP9" s="23">
        <v>4762.0090337352922</v>
      </c>
      <c r="AQ9" s="23">
        <v>1283.5708464908423</v>
      </c>
      <c r="AR9" s="23">
        <f t="shared" si="3"/>
        <v>4516.2803235376568</v>
      </c>
    </row>
    <row r="10" spans="1:44" x14ac:dyDescent="0.2">
      <c r="A10" s="11" t="s">
        <v>35</v>
      </c>
      <c r="B10" s="12">
        <v>34.575903869879703</v>
      </c>
      <c r="C10" s="13"/>
      <c r="D10" s="13"/>
      <c r="E10" s="13"/>
      <c r="F10" s="13"/>
      <c r="G10" s="13"/>
      <c r="H10" s="13"/>
      <c r="I10" s="27">
        <f>I9/M9</f>
        <v>-9.4377412220079809E-2</v>
      </c>
      <c r="J10" s="27">
        <f>J9/M9</f>
        <v>0.92661152607750386</v>
      </c>
      <c r="K10" s="27">
        <f>K9/M9</f>
        <v>0.36398349386058787</v>
      </c>
      <c r="L10" s="13"/>
      <c r="M10" s="13"/>
      <c r="N10" s="13"/>
      <c r="O10" s="13"/>
      <c r="P10" s="14"/>
      <c r="Q10" s="22">
        <v>-193.12612915039063</v>
      </c>
      <c r="R10" s="22">
        <v>1501.9039306640625</v>
      </c>
      <c r="S10" s="22">
        <v>27.013982772827148</v>
      </c>
      <c r="T10" s="23" t="s">
        <v>129</v>
      </c>
      <c r="U10" s="23">
        <f t="shared" si="2"/>
        <v>1480.9461770310568</v>
      </c>
      <c r="W10" s="3" t="s">
        <v>50</v>
      </c>
      <c r="X10" s="5">
        <v>59937.5</v>
      </c>
      <c r="Z10" s="3" t="s">
        <v>51</v>
      </c>
      <c r="AA10" s="5">
        <f ca="1">0.8*X2*(X8*(X9-X12)-B5*X12)</f>
        <v>-361.90593000407807</v>
      </c>
      <c r="AC10" s="23">
        <v>70</v>
      </c>
      <c r="AD10" s="23">
        <f t="shared" si="0"/>
        <v>45.140865751056893</v>
      </c>
      <c r="AE10" s="23">
        <f t="array" ref="AE10:AG10">FLEXCOMPBIAXL1($B$4,$B$5,$B$6,$B$15,$B$16,$B$17,$B$18,$B$11,$B$12,$B$13,$B$7,$B$8,AC10,AD10,$B$3,$B$14)</f>
        <v>-220.551783921523</v>
      </c>
      <c r="AF10" s="23">
        <v>4423.1435494442194</v>
      </c>
      <c r="AG10" s="23">
        <v>2478.3707540927226</v>
      </c>
      <c r="AI10" s="23">
        <v>70</v>
      </c>
      <c r="AJ10" s="23">
        <f t="shared" si="1"/>
        <v>31.015064853805679</v>
      </c>
      <c r="AK10" s="23">
        <f t="array" ref="AK10:AM10">FLEXCOMPBIAXL1($B$4,$B$5,$B$6,$B$15,$B$16,$B$17,$B$18,$B$11,$B$12,$B$13,$B$7,$B$8,AI10,AJ10,$B$3,$B$14)</f>
        <v>-112.75953990014781</v>
      </c>
      <c r="AL10" s="23">
        <v>5505.3806865717997</v>
      </c>
      <c r="AM10" s="23">
        <v>3156.8477098833928</v>
      </c>
      <c r="AO10" s="23">
        <v>-225.82796576283363</v>
      </c>
      <c r="AP10" s="23">
        <v>4316.9536553136695</v>
      </c>
      <c r="AQ10" s="23">
        <v>1271.1452343764392</v>
      </c>
      <c r="AR10" s="23">
        <f t="shared" si="3"/>
        <v>4078.0968885189614</v>
      </c>
    </row>
    <row r="11" spans="1:44" x14ac:dyDescent="0.2">
      <c r="A11" s="11" t="s">
        <v>9</v>
      </c>
      <c r="B11" s="12">
        <v>2</v>
      </c>
      <c r="C11" s="13"/>
      <c r="D11" s="13"/>
      <c r="E11" s="13"/>
      <c r="F11" s="13"/>
      <c r="G11" s="13"/>
      <c r="H11" s="13"/>
      <c r="I11" s="24"/>
      <c r="J11" s="13"/>
      <c r="K11" s="13"/>
      <c r="L11" s="13"/>
      <c r="M11" s="13"/>
      <c r="N11" s="13"/>
      <c r="O11" s="13"/>
      <c r="P11" s="14"/>
      <c r="Q11" s="22">
        <v>-193.28498840332031</v>
      </c>
      <c r="R11" s="22">
        <v>1500.7325439453125</v>
      </c>
      <c r="S11" s="22">
        <v>25.492536544799805</v>
      </c>
      <c r="T11" s="23" t="s">
        <v>201</v>
      </c>
      <c r="U11" s="23">
        <f t="shared" si="2"/>
        <v>1480.0156805278634</v>
      </c>
      <c r="W11" s="3" t="s">
        <v>55</v>
      </c>
      <c r="X11" s="5">
        <v>70437.5</v>
      </c>
      <c r="Z11" s="3" t="s">
        <v>56</v>
      </c>
      <c r="AA11" s="5">
        <f t="array" aca="1" ref="AA11:AA13" ca="1">MOMENTSPOLY(OFFSET($H$45,0,0,COUNT($H$45:$H$51),2))</f>
        <v>1405.8982984915074</v>
      </c>
      <c r="AC11" s="23">
        <v>80</v>
      </c>
      <c r="AD11" s="23">
        <f t="shared" si="0"/>
        <v>39.110660475191786</v>
      </c>
      <c r="AE11" s="23">
        <f t="array" ref="AE11:AG11">FLEXCOMPBIAXL1($B$4,$B$5,$B$6,$B$15,$B$16,$B$17,$B$18,$B$11,$B$12,$B$13,$B$7,$B$8,AC11,AD11,$B$3,$B$14)</f>
        <v>-220.51813840689999</v>
      </c>
      <c r="AF11" s="23">
        <v>4855.9804743602099</v>
      </c>
      <c r="AG11" s="23">
        <v>2255.2833358872635</v>
      </c>
      <c r="AI11" s="23">
        <v>80</v>
      </c>
      <c r="AJ11" s="23">
        <f t="shared" si="1"/>
        <v>26.176369721844232</v>
      </c>
      <c r="AK11" s="23">
        <f t="array" ref="AK11:AM11">FLEXCOMPBIAXL1($B$4,$B$5,$B$6,$B$15,$B$16,$B$17,$B$18,$B$11,$B$12,$B$13,$B$7,$B$8,AI11,AJ11,$B$3,$B$14)</f>
        <v>-112.72727236197645</v>
      </c>
      <c r="AL11" s="23">
        <v>5955.8743752278679</v>
      </c>
      <c r="AM11" s="23">
        <v>2567.4214417300918</v>
      </c>
      <c r="AO11" s="23">
        <v>-266.72359472755096</v>
      </c>
      <c r="AP11" s="23">
        <v>3927.6222595158492</v>
      </c>
      <c r="AQ11" s="23">
        <v>1294.7048784792557</v>
      </c>
      <c r="AR11" s="23">
        <f t="shared" si="3"/>
        <v>3689.6243485765367</v>
      </c>
    </row>
    <row r="12" spans="1:44" x14ac:dyDescent="0.2">
      <c r="A12" s="11" t="s">
        <v>10</v>
      </c>
      <c r="B12" s="12">
        <v>2</v>
      </c>
      <c r="C12" s="13"/>
      <c r="D12" s="13"/>
      <c r="E12" s="13"/>
      <c r="F12" s="13"/>
      <c r="G12" s="13"/>
      <c r="H12" s="13"/>
      <c r="I12" s="25" t="s">
        <v>125</v>
      </c>
      <c r="J12" s="13"/>
      <c r="K12" s="13"/>
      <c r="L12" s="13"/>
      <c r="M12" s="13"/>
      <c r="N12" s="13"/>
      <c r="O12" s="13"/>
      <c r="P12" s="14"/>
      <c r="Q12" s="22">
        <v>-192.98037719726563</v>
      </c>
      <c r="R12" s="22">
        <v>1499.5281982421875</v>
      </c>
      <c r="S12" s="22">
        <v>18.138359069824219</v>
      </c>
      <c r="T12" s="23" t="s">
        <v>130</v>
      </c>
      <c r="U12" s="23">
        <f t="shared" si="2"/>
        <v>1479.9255154243954</v>
      </c>
      <c r="W12" s="3" t="s">
        <v>57</v>
      </c>
      <c r="X12" s="5">
        <f t="array" aca="1" ref="X12:X14" ca="1">MOMENTSPUNT(OFFSET($W$45,0,0,COUNT($W$45:$W$72),3))</f>
        <v>56.548667764616297</v>
      </c>
      <c r="Z12" s="3" t="s">
        <v>58</v>
      </c>
      <c r="AA12" s="5">
        <f ca="1"/>
        <v>19795.623376075051</v>
      </c>
      <c r="AC12" s="23">
        <v>90</v>
      </c>
      <c r="AD12" s="23">
        <f t="shared" si="0"/>
        <v>33.003692626953125</v>
      </c>
      <c r="AE12" s="23">
        <f t="array" ref="AE12:AG12">FLEXCOMPBIAXL1($B$4,$B$5,$B$6,$B$15,$B$16,$B$17,$B$18,$B$11,$B$12,$B$13,$B$7,$B$8,AC12,AD12,$B$3,$B$14)</f>
        <v>-220.53981533248191</v>
      </c>
      <c r="AF12" s="23">
        <v>5158.0368312474875</v>
      </c>
      <c r="AG12" s="23">
        <v>1883.838628556198</v>
      </c>
      <c r="AI12" s="23">
        <v>90</v>
      </c>
      <c r="AJ12" s="23">
        <f t="shared" si="1"/>
        <v>21.089935302734375</v>
      </c>
      <c r="AK12" s="23">
        <f t="array" ref="AK12:AM12">FLEXCOMPBIAXL1($B$4,$B$5,$B$6,$B$15,$B$16,$B$17,$B$18,$B$11,$B$12,$B$13,$B$7,$B$8,AI12,AJ12,$B$3,$B$14)</f>
        <v>-112.73569577991996</v>
      </c>
      <c r="AL12" s="23">
        <v>6078.606193539179</v>
      </c>
      <c r="AM12" s="23">
        <v>1815.3321812768472</v>
      </c>
      <c r="AO12" s="23">
        <v>-305.02792170712428</v>
      </c>
      <c r="AP12" s="23">
        <v>3465.4916147084468</v>
      </c>
      <c r="AQ12" s="23">
        <v>1296.3342762942743</v>
      </c>
      <c r="AR12" s="23">
        <f t="shared" si="3"/>
        <v>3232.4544987134732</v>
      </c>
    </row>
    <row r="13" spans="1:44" x14ac:dyDescent="0.2">
      <c r="A13" s="11" t="s">
        <v>11</v>
      </c>
      <c r="B13" s="12">
        <v>1</v>
      </c>
      <c r="C13" s="13"/>
      <c r="D13" s="13"/>
      <c r="E13" s="13"/>
      <c r="F13" s="13"/>
      <c r="G13" s="13"/>
      <c r="H13" s="13"/>
      <c r="I13" s="6" t="s">
        <v>52</v>
      </c>
      <c r="J13" s="6" t="s">
        <v>53</v>
      </c>
      <c r="K13" s="6" t="s">
        <v>54</v>
      </c>
      <c r="L13" s="13"/>
      <c r="M13" s="6" t="s">
        <v>127</v>
      </c>
      <c r="N13" s="13"/>
      <c r="O13" s="13"/>
      <c r="P13" s="14"/>
      <c r="Q13" s="22">
        <v>-193.08283996582031</v>
      </c>
      <c r="R13" s="22">
        <v>1499.1710205078125</v>
      </c>
      <c r="S13" s="22">
        <v>25.297758102416992</v>
      </c>
      <c r="T13" s="23" t="s">
        <v>131</v>
      </c>
      <c r="U13" s="23">
        <f t="shared" si="2"/>
        <v>1478.5008937131772</v>
      </c>
      <c r="W13" s="3" t="s">
        <v>59</v>
      </c>
      <c r="X13" s="5">
        <f ca="1"/>
        <v>1209.5131716320702</v>
      </c>
      <c r="Z13" s="3" t="s">
        <v>60</v>
      </c>
      <c r="AA13" s="5">
        <f ca="1"/>
        <v>8180.5360376087592</v>
      </c>
      <c r="AC13" s="23">
        <v>100</v>
      </c>
      <c r="AD13" s="23">
        <f t="shared" si="0"/>
        <v>39.734849148241864</v>
      </c>
      <c r="AE13" s="23">
        <f t="array" ref="AE13:AG13">FLEXCOMPBIAXL1($B$4,$B$5,$B$6,$B$15,$B$16,$B$17,$B$18,$B$11,$B$12,$B$13,$B$7,$B$8,AC13,AD13,$B$3,$B$14)</f>
        <v>-220.52609193865749</v>
      </c>
      <c r="AF13" s="23">
        <v>4339.2582180605132</v>
      </c>
      <c r="AG13" s="23">
        <v>1189.4649392610293</v>
      </c>
      <c r="AI13" s="23">
        <v>100</v>
      </c>
      <c r="AJ13" s="23">
        <f t="shared" si="1"/>
        <v>26.270764624690568</v>
      </c>
      <c r="AK13" s="23">
        <f t="array" ref="AK13:AM13">FLEXCOMPBIAXL1($B$4,$B$5,$B$6,$B$15,$B$16,$B$17,$B$18,$B$11,$B$12,$B$13,$B$7,$B$8,AI13,AJ13,$B$3,$B$14)</f>
        <v>-112.76325967172659</v>
      </c>
      <c r="AL13" s="23">
        <v>5787.7352881344059</v>
      </c>
      <c r="AM13" s="23">
        <v>1018.6497854341236</v>
      </c>
      <c r="AO13" s="23">
        <v>-336.04123836478914</v>
      </c>
      <c r="AP13" s="23">
        <v>2944.9088518177296</v>
      </c>
      <c r="AQ13" s="23">
        <v>1043.8137344836143</v>
      </c>
      <c r="AR13" s="23">
        <f t="shared" si="3"/>
        <v>2755.526594296146</v>
      </c>
    </row>
    <row r="14" spans="1:44" x14ac:dyDescent="0.2">
      <c r="A14" s="11" t="s">
        <v>110</v>
      </c>
      <c r="B14" s="12">
        <v>0</v>
      </c>
      <c r="C14" s="13"/>
      <c r="D14" s="13"/>
      <c r="E14" s="13"/>
      <c r="F14" s="13"/>
      <c r="G14" s="13"/>
      <c r="H14" s="13"/>
      <c r="I14" s="7">
        <f>ROUND(I5/I10-1,3)</f>
        <v>-0.6</v>
      </c>
      <c r="J14" s="7">
        <f>ROUND(J5/J10-1,3)</f>
        <v>4.3999999999999997E-2</v>
      </c>
      <c r="K14" s="7">
        <f>ROUND(K5/K10-1,3)</f>
        <v>-0.316</v>
      </c>
      <c r="L14" s="13"/>
      <c r="M14" s="7">
        <f>M4/M9</f>
        <v>2.5062538164541133</v>
      </c>
      <c r="N14" s="13"/>
      <c r="O14" s="13"/>
      <c r="P14" s="14"/>
      <c r="Q14" s="22">
        <v>-193.27616882324219</v>
      </c>
      <c r="R14" s="22">
        <v>1498.1324462890625</v>
      </c>
      <c r="S14" s="22">
        <v>25.719120025634766</v>
      </c>
      <c r="T14" s="23" t="s">
        <v>202</v>
      </c>
      <c r="U14" s="23">
        <f t="shared" si="2"/>
        <v>1477.4109557235552</v>
      </c>
      <c r="W14" s="3" t="s">
        <v>62</v>
      </c>
      <c r="X14" s="5">
        <f ca="1"/>
        <v>1665.0441064025904</v>
      </c>
      <c r="Z14" s="3" t="s">
        <v>63</v>
      </c>
      <c r="AA14" s="5">
        <f ca="1">AA11*$X$8</f>
        <v>-250.95283844561465</v>
      </c>
      <c r="AC14" s="23">
        <v>110</v>
      </c>
      <c r="AD14" s="23">
        <f t="shared" si="0"/>
        <v>43.021061118061596</v>
      </c>
      <c r="AE14" s="23">
        <f t="array" ref="AE14:AG14">FLEXCOMPBIAXL1($B$4,$B$5,$B$6,$B$15,$B$16,$B$17,$B$18,$B$11,$B$12,$B$13,$B$7,$B$8,AC14,AD14,$B$3,$B$14)</f>
        <v>-220.55955127241469</v>
      </c>
      <c r="AF14" s="23">
        <v>3908.2939156839725</v>
      </c>
      <c r="AG14" s="23">
        <v>554.31326671838667</v>
      </c>
      <c r="AI14" s="23">
        <v>110</v>
      </c>
      <c r="AJ14" s="23">
        <f t="shared" si="1"/>
        <v>31.226697317916127</v>
      </c>
      <c r="AK14" s="23">
        <f t="array" ref="AK14:AM14">FLEXCOMPBIAXL1($B$4,$B$5,$B$6,$B$15,$B$16,$B$17,$B$18,$B$11,$B$12,$B$13,$B$7,$B$8,AI14,AJ14,$B$3,$B$14)</f>
        <v>-112.77492395741517</v>
      </c>
      <c r="AL14" s="23">
        <v>4765.6636683797351</v>
      </c>
      <c r="AM14" s="23">
        <v>229.7789104041882</v>
      </c>
      <c r="AO14" s="23">
        <v>-361.90593000407807</v>
      </c>
      <c r="AP14" s="23">
        <v>2219.8742179190904</v>
      </c>
      <c r="AQ14" s="23">
        <v>743.06421884750409</v>
      </c>
      <c r="AR14" s="23">
        <f t="shared" si="3"/>
        <v>2083.6673020895446</v>
      </c>
    </row>
    <row r="15" spans="1:44" x14ac:dyDescent="0.2">
      <c r="A15" s="11" t="s">
        <v>16</v>
      </c>
      <c r="B15" s="67">
        <v>70</v>
      </c>
      <c r="C15" s="13"/>
      <c r="D15" s="13"/>
      <c r="E15" s="13"/>
      <c r="F15" s="13"/>
      <c r="G15" s="13"/>
      <c r="H15" s="13"/>
      <c r="I15" s="24"/>
      <c r="J15" s="13"/>
      <c r="K15" s="13"/>
      <c r="L15" s="13"/>
      <c r="M15" s="13"/>
      <c r="N15" s="13"/>
      <c r="O15" s="13"/>
      <c r="P15" s="14"/>
      <c r="Q15" s="22">
        <v>-192.92431640625</v>
      </c>
      <c r="R15" s="22">
        <v>1496.823486328125</v>
      </c>
      <c r="S15" s="22">
        <v>21.481056213378906</v>
      </c>
      <c r="T15" s="23" t="s">
        <v>205</v>
      </c>
      <c r="U15" s="23">
        <f t="shared" si="2"/>
        <v>1476.7510009237189</v>
      </c>
      <c r="W15" s="3" t="s">
        <v>64</v>
      </c>
      <c r="X15" s="5">
        <f ca="1">(-X11*X8+(B5+X8)*X14)/(-X8*X9+(B5+X8)*X12)</f>
        <v>27.686518758812237</v>
      </c>
      <c r="Z15" s="3" t="s">
        <v>65</v>
      </c>
      <c r="AA15" s="5">
        <f ca="1">AA12*$X$8</f>
        <v>-3533.5186623077088</v>
      </c>
      <c r="AC15" s="23">
        <v>120</v>
      </c>
      <c r="AD15" s="23">
        <f t="shared" si="0"/>
        <v>45.083669086747264</v>
      </c>
      <c r="AE15" s="23">
        <f t="array" ref="AE15:AG15">FLEXCOMPBIAXL1($B$4,$B$5,$B$6,$B$15,$B$16,$B$17,$B$18,$B$11,$B$12,$B$13,$B$7,$B$8,AC15,AD15,$B$3,$B$14)</f>
        <v>-220.54667692143684</v>
      </c>
      <c r="AF15" s="23">
        <v>3419.3545051123833</v>
      </c>
      <c r="AG15" s="23">
        <v>-82.768036291716939</v>
      </c>
      <c r="AI15" s="23">
        <v>120</v>
      </c>
      <c r="AJ15" s="23">
        <f t="shared" si="1"/>
        <v>34.848597523635064</v>
      </c>
      <c r="AK15" s="23">
        <f t="array" ref="AK15:AM15">FLEXCOMPBIAXL1($B$4,$B$5,$B$6,$B$15,$B$16,$B$17,$B$18,$B$11,$B$12,$B$13,$B$7,$B$8,AI15,AJ15,$B$3,$B$14)</f>
        <v>-112.74512582774038</v>
      </c>
      <c r="AL15" s="23">
        <v>3832.0001776338127</v>
      </c>
      <c r="AM15" s="23">
        <v>-453.02443074055344</v>
      </c>
      <c r="AO15" s="23">
        <v>-361.90593000407807</v>
      </c>
      <c r="AP15" s="23">
        <v>1586.0653508491882</v>
      </c>
      <c r="AQ15" s="23">
        <v>515.5522766326975</v>
      </c>
      <c r="AR15" s="23">
        <f t="shared" si="3"/>
        <v>1491.0457230989214</v>
      </c>
    </row>
    <row r="16" spans="1:44" x14ac:dyDescent="0.2">
      <c r="A16" s="11" t="s">
        <v>17</v>
      </c>
      <c r="B16" s="67">
        <v>55</v>
      </c>
      <c r="C16" s="13"/>
      <c r="D16" s="13"/>
      <c r="E16" s="13"/>
      <c r="F16" s="13"/>
      <c r="G16" s="13"/>
      <c r="H16" s="13"/>
      <c r="I16" s="24"/>
      <c r="J16" s="13"/>
      <c r="K16" s="13"/>
      <c r="L16" s="13"/>
      <c r="M16" s="13"/>
      <c r="N16" s="13"/>
      <c r="O16" s="13"/>
      <c r="P16" s="14"/>
      <c r="Q16" s="22">
        <v>-192.87625122070313</v>
      </c>
      <c r="R16" s="22">
        <v>1496.6875</v>
      </c>
      <c r="S16" s="22">
        <v>16.033361434936523</v>
      </c>
      <c r="T16" s="23" t="s">
        <v>132</v>
      </c>
      <c r="U16" s="23">
        <f t="shared" si="2"/>
        <v>1477.4318412318453</v>
      </c>
      <c r="W16" s="3" t="s">
        <v>66</v>
      </c>
      <c r="X16" s="5">
        <f ca="1">(-X10*X8+(B5+X8)*X13)/(-X8*X9+(B5+X8)*X12)</f>
        <v>22.361358417110949</v>
      </c>
      <c r="Z16" s="3" t="s">
        <v>67</v>
      </c>
      <c r="AA16" s="5">
        <f ca="1">AA13*$X$8</f>
        <v>-1460.2256371227556</v>
      </c>
      <c r="AC16" s="23">
        <v>130</v>
      </c>
      <c r="AD16" s="23">
        <f t="shared" si="0"/>
        <v>45.944628165646364</v>
      </c>
      <c r="AE16" s="23">
        <f t="array" ref="AE16:AG16">FLEXCOMPBIAXL1($B$4,$B$5,$B$6,$B$15,$B$16,$B$17,$B$18,$B$11,$B$12,$B$13,$B$7,$B$8,AC16,AD16,$B$3,$B$14)</f>
        <v>-220.54689522677677</v>
      </c>
      <c r="AF16" s="23">
        <v>2804.3054452279098</v>
      </c>
      <c r="AG16" s="23">
        <v>-781.75355668996428</v>
      </c>
      <c r="AI16" s="23">
        <v>130</v>
      </c>
      <c r="AJ16" s="23">
        <f t="shared" si="1"/>
        <v>36.669073886912997</v>
      </c>
      <c r="AK16" s="23">
        <f t="array" ref="AK16:AM16">FLEXCOMPBIAXL1($B$4,$B$5,$B$6,$B$15,$B$16,$B$17,$B$18,$B$11,$B$12,$B$13,$B$7,$B$8,AI16,AJ16,$B$3,$B$14)</f>
        <v>-112.75563698507393</v>
      </c>
      <c r="AL16" s="23">
        <v>2929.7650486402613</v>
      </c>
      <c r="AM16" s="23">
        <v>-1113.0703885935616</v>
      </c>
      <c r="AO16" s="23">
        <v>-361.90593000407807</v>
      </c>
      <c r="AP16" s="23">
        <v>-1.105517819669354E-12</v>
      </c>
      <c r="AQ16" s="23">
        <v>1.4321347295767917E-12</v>
      </c>
      <c r="AR16" s="23">
        <f t="shared" si="3"/>
        <v>-1.3073986337985843E-12</v>
      </c>
    </row>
    <row r="17" spans="1:44" x14ac:dyDescent="0.2">
      <c r="A17" s="11" t="s">
        <v>113</v>
      </c>
      <c r="B17" s="67">
        <v>35</v>
      </c>
      <c r="C17" s="13"/>
      <c r="D17" s="13"/>
      <c r="E17" s="13"/>
      <c r="F17" s="13"/>
      <c r="G17" s="13"/>
      <c r="H17" s="13"/>
      <c r="I17" s="25" t="s">
        <v>68</v>
      </c>
      <c r="J17" s="13"/>
      <c r="K17" s="13"/>
      <c r="L17" s="13"/>
      <c r="M17" s="28" t="s">
        <v>61</v>
      </c>
      <c r="N17" s="13"/>
      <c r="O17" s="13"/>
      <c r="Q17" s="22">
        <v>-114.10828399658203</v>
      </c>
      <c r="R17" s="22">
        <v>-1057.4520263671875</v>
      </c>
      <c r="S17" s="22">
        <v>1156.1134033203125</v>
      </c>
      <c r="T17" s="23" t="s">
        <v>207</v>
      </c>
      <c r="U17" s="23">
        <f t="shared" si="2"/>
        <v>-1218.5651683013352</v>
      </c>
      <c r="W17" s="3" t="s">
        <v>69</v>
      </c>
      <c r="X17" s="5">
        <f>IF(B4&lt;=B3,0.85,IF(B4&gt;=2*B3,0.65,0.85-(0.85-0.65)*(B4/B3-1)))</f>
        <v>0.85</v>
      </c>
      <c r="Z17" s="3" t="s">
        <v>70</v>
      </c>
      <c r="AA17" s="5">
        <f ca="1">AA14+AA7</f>
        <v>-271.86328021155919</v>
      </c>
      <c r="AC17" s="23">
        <v>140</v>
      </c>
      <c r="AD17" s="23">
        <f t="shared" si="0"/>
        <v>45.382819563138476</v>
      </c>
      <c r="AE17" s="23">
        <f t="array" ref="AE17:AG17">FLEXCOMPBIAXL1($B$4,$B$5,$B$6,$B$15,$B$16,$B$17,$B$18,$B$11,$B$12,$B$13,$B$7,$B$8,AC17,AD17,$B$3,$B$14)</f>
        <v>-220.56788910733229</v>
      </c>
      <c r="AF17" s="23">
        <v>1974.6555194580751</v>
      </c>
      <c r="AG17" s="23">
        <v>-1572.3462760475495</v>
      </c>
      <c r="AI17" s="23">
        <v>140</v>
      </c>
      <c r="AJ17" s="23">
        <f t="shared" si="1"/>
        <v>36.158132060289709</v>
      </c>
      <c r="AK17" s="23">
        <f t="array" ref="AK17:AM17">FLEXCOMPBIAXL1($B$4,$B$5,$B$6,$B$15,$B$16,$B$17,$B$18,$B$11,$B$12,$B$13,$B$7,$B$8,AI17,AJ17,$B$3,$B$14)</f>
        <v>-112.74232152428289</v>
      </c>
      <c r="AL17" s="23">
        <v>2224.0277571385755</v>
      </c>
      <c r="AM17" s="23">
        <v>-1724.0316262215254</v>
      </c>
      <c r="AO17" s="23">
        <f t="array" ref="AO17:AQ30">DIAGRAFLEXCOMPL1(B4,B5,B6,B15,B16,B17,B18,B11,B12,B13,B7,B8,B9+180,B3,B14)</f>
        <v>213.75395444302745</v>
      </c>
      <c r="AP17" s="23">
        <v>375.76356692085272</v>
      </c>
      <c r="AQ17" s="23">
        <v>207.86920723281156</v>
      </c>
      <c r="AR17" s="23">
        <f t="shared" si="3"/>
        <v>340.42216631604754</v>
      </c>
    </row>
    <row r="18" spans="1:44" x14ac:dyDescent="0.2">
      <c r="A18" s="11" t="s">
        <v>114</v>
      </c>
      <c r="B18" s="67">
        <v>20</v>
      </c>
      <c r="C18" s="13"/>
      <c r="D18" s="13"/>
      <c r="E18" s="13"/>
      <c r="F18" s="13"/>
      <c r="G18" s="13"/>
      <c r="H18" s="13"/>
      <c r="I18" s="24"/>
      <c r="J18" s="13"/>
      <c r="K18" s="13"/>
      <c r="L18" s="13"/>
      <c r="M18" s="29" t="s">
        <v>12</v>
      </c>
      <c r="N18" s="30"/>
      <c r="O18" s="26" t="s">
        <v>21</v>
      </c>
      <c r="Q18" s="22">
        <v>-193.32376098632813</v>
      </c>
      <c r="R18" s="22">
        <v>1494.718017578125</v>
      </c>
      <c r="S18" s="22">
        <v>17.264860153198242</v>
      </c>
      <c r="T18" s="23" t="s">
        <v>133</v>
      </c>
      <c r="U18" s="23">
        <f t="shared" si="2"/>
        <v>1475.300235146299</v>
      </c>
      <c r="W18" s="3" t="s">
        <v>71</v>
      </c>
      <c r="X18" s="5">
        <f ca="1">MAX(F45:F51)</f>
        <v>30.721277855837307</v>
      </c>
      <c r="Z18" s="3" t="s">
        <v>72</v>
      </c>
      <c r="AA18" s="5">
        <f ca="1">AA15+AA8</f>
        <v>-6615.1501379340252</v>
      </c>
      <c r="AC18" s="23">
        <v>150</v>
      </c>
      <c r="AD18" s="23">
        <f t="shared" si="0"/>
        <v>42.658004186480255</v>
      </c>
      <c r="AE18" s="23">
        <f t="array" ref="AE18:AG18">FLEXCOMPBIAXL1($B$4,$B$5,$B$6,$B$15,$B$16,$B$17,$B$18,$B$11,$B$12,$B$13,$B$7,$B$8,AC18,AD18,$B$3,$B$14)</f>
        <v>-220.52897148524147</v>
      </c>
      <c r="AF18" s="23">
        <v>923.58208700290277</v>
      </c>
      <c r="AG18" s="23">
        <v>-2358.9746908912584</v>
      </c>
      <c r="AI18" s="23">
        <v>150</v>
      </c>
      <c r="AJ18" s="23">
        <f t="shared" si="1"/>
        <v>33.743382711915856</v>
      </c>
      <c r="AK18" s="23">
        <f t="array" ref="AK18:AM18">FLEXCOMPBIAXL1($B$4,$B$5,$B$6,$B$15,$B$16,$B$17,$B$18,$B$11,$B$12,$B$13,$B$7,$B$8,AI18,AJ18,$B$3,$B$14)</f>
        <v>-112.77073225839787</v>
      </c>
      <c r="AL18" s="23">
        <v>1482.5377050351178</v>
      </c>
      <c r="AM18" s="23">
        <v>-2377.1938382369385</v>
      </c>
      <c r="AO18" s="23">
        <v>188.04911794227388</v>
      </c>
      <c r="AP18" s="23">
        <v>-493.49755938843481</v>
      </c>
      <c r="AQ18" s="23">
        <v>-103.19746131707886</v>
      </c>
      <c r="AR18" s="23">
        <f t="shared" si="3"/>
        <v>-472.49524588791428</v>
      </c>
    </row>
    <row r="19" spans="1:44" x14ac:dyDescent="0.2">
      <c r="A19" s="24"/>
      <c r="B19" s="13"/>
      <c r="C19" s="13"/>
      <c r="D19" s="13"/>
      <c r="E19" s="13"/>
      <c r="F19" s="13"/>
      <c r="G19" s="13"/>
      <c r="H19" s="13"/>
      <c r="I19" s="24"/>
      <c r="J19" s="13"/>
      <c r="K19" s="13"/>
      <c r="L19" s="13"/>
      <c r="M19" s="13"/>
      <c r="N19" s="13"/>
      <c r="O19" s="13"/>
      <c r="P19" s="14"/>
      <c r="Q19" s="22">
        <v>-193.02825927734375</v>
      </c>
      <c r="R19" s="22">
        <v>1493.7489013671875</v>
      </c>
      <c r="S19" s="22">
        <v>10.07670783996582</v>
      </c>
      <c r="T19" s="23" t="s">
        <v>198</v>
      </c>
      <c r="U19" s="23">
        <f t="shared" si="2"/>
        <v>1475.4178031966724</v>
      </c>
      <c r="W19" s="3" t="s">
        <v>17</v>
      </c>
      <c r="X19" s="5">
        <f ca="1">X18-MIN(F45:F51)</f>
        <v>72.20481455364849</v>
      </c>
      <c r="Z19" s="3" t="s">
        <v>73</v>
      </c>
      <c r="AA19" s="5">
        <f ca="1">AA16+AA9</f>
        <v>-2812.4288470228857</v>
      </c>
      <c r="AC19" s="23">
        <v>160</v>
      </c>
      <c r="AD19" s="23">
        <f t="shared" si="0"/>
        <v>38.380125027351646</v>
      </c>
      <c r="AE19" s="23">
        <f t="array" ref="AE19:AG19">FLEXCOMPBIAXL1($B$4,$B$5,$B$6,$B$15,$B$16,$B$17,$B$18,$B$11,$B$12,$B$13,$B$7,$B$8,AC19,AD19,$B$3,$B$14)</f>
        <v>-220.5565305964372</v>
      </c>
      <c r="AF19" s="23">
        <v>-160.77263775565959</v>
      </c>
      <c r="AG19" s="23">
        <v>-3023.9664325277772</v>
      </c>
      <c r="AI19" s="23">
        <v>160</v>
      </c>
      <c r="AJ19" s="23">
        <f t="shared" si="1"/>
        <v>28.851869263253967</v>
      </c>
      <c r="AK19" s="23">
        <f t="array" ref="AK19:AM19">FLEXCOMPBIAXL1($B$4,$B$5,$B$6,$B$15,$B$16,$B$17,$B$18,$B$11,$B$12,$B$13,$B$7,$B$8,AI19,AJ19,$B$3,$B$14)</f>
        <v>-112.74011453264076</v>
      </c>
      <c r="AL19" s="23">
        <v>553.28551594786234</v>
      </c>
      <c r="AM19" s="23">
        <v>-3264.5882865325052</v>
      </c>
      <c r="AO19" s="23">
        <v>132.071218452842</v>
      </c>
      <c r="AP19" s="23">
        <v>-2358.7278538795231</v>
      </c>
      <c r="AQ19" s="23">
        <v>-773.29698511370179</v>
      </c>
      <c r="AR19" s="23">
        <f t="shared" si="3"/>
        <v>-2216.4325307581994</v>
      </c>
    </row>
    <row r="20" spans="1:44" x14ac:dyDescent="0.2">
      <c r="A20" s="24"/>
      <c r="B20" s="13"/>
      <c r="C20" s="13"/>
      <c r="D20" s="13"/>
      <c r="E20" s="13"/>
      <c r="F20" s="13"/>
      <c r="G20" s="13"/>
      <c r="H20" s="13"/>
      <c r="I20" s="29" t="s">
        <v>74</v>
      </c>
      <c r="J20" s="30"/>
      <c r="K20" s="31" t="s">
        <v>120</v>
      </c>
      <c r="L20" s="32"/>
      <c r="M20" s="33"/>
      <c r="N20" s="13"/>
      <c r="O20" s="13"/>
      <c r="P20" s="14"/>
      <c r="Q20" s="22">
        <v>-193.18208312988281</v>
      </c>
      <c r="R20" s="22">
        <v>1493.212646484375</v>
      </c>
      <c r="S20" s="22">
        <v>20.825349807739258</v>
      </c>
      <c r="T20" s="23" t="s">
        <v>203</v>
      </c>
      <c r="U20" s="23">
        <f t="shared" si="2"/>
        <v>1473.2789595917448</v>
      </c>
      <c r="W20" s="3" t="s">
        <v>76</v>
      </c>
      <c r="X20" s="5">
        <f ca="1">MIN(IF(B10&lt;=0,0,X17*B10),X19)</f>
        <v>29.389518289397746</v>
      </c>
      <c r="Z20" s="3" t="s">
        <v>77</v>
      </c>
      <c r="AA20" s="5">
        <f ca="1">-AA18*COS(X6)-AA19*SIN(X6)</f>
        <v>1790.7394490805953</v>
      </c>
      <c r="AC20" s="23">
        <v>170</v>
      </c>
      <c r="AD20" s="23">
        <f t="shared" si="0"/>
        <v>33.102092255607275</v>
      </c>
      <c r="AE20" s="23">
        <f t="array" ref="AE20:AG20">FLEXCOMPBIAXL1($B$4,$B$5,$B$6,$B$15,$B$16,$B$17,$B$18,$B$11,$B$12,$B$13,$B$7,$B$8,AC20,AD20,$B$3,$B$14)</f>
        <v>-220.51865723097575</v>
      </c>
      <c r="AF20" s="23">
        <v>-1285.1080097355489</v>
      </c>
      <c r="AG20" s="23">
        <v>-3621.8619715884138</v>
      </c>
      <c r="AI20" s="23">
        <v>170</v>
      </c>
      <c r="AJ20" s="23">
        <f t="shared" si="1"/>
        <v>21.718450854550916</v>
      </c>
      <c r="AK20" s="23">
        <f t="array" ref="AK20:AM20">FLEXCOMPBIAXL1($B$4,$B$5,$B$6,$B$15,$B$16,$B$17,$B$18,$B$11,$B$12,$B$13,$B$7,$B$8,AI20,AJ20,$B$3,$B$14)</f>
        <v>-112.73391794007053</v>
      </c>
      <c r="AL20" s="23">
        <v>-649.01882198729731</v>
      </c>
      <c r="AM20" s="23">
        <v>-4259.2723180777657</v>
      </c>
      <c r="AO20" s="23">
        <v>91.624555426303459</v>
      </c>
      <c r="AP20" s="23">
        <v>-3461.9774849943851</v>
      </c>
      <c r="AQ20" s="23">
        <v>-1184.8633581485683</v>
      </c>
      <c r="AR20" s="23">
        <f t="shared" si="3"/>
        <v>-3245.6625429411265</v>
      </c>
    </row>
    <row r="21" spans="1:44" x14ac:dyDescent="0.2">
      <c r="A21" s="34"/>
      <c r="B21" s="35"/>
      <c r="C21" s="35"/>
      <c r="D21" s="35"/>
      <c r="E21" s="35"/>
      <c r="F21" s="35"/>
      <c r="G21" s="35"/>
      <c r="H21" s="35"/>
      <c r="I21" s="29" t="s">
        <v>78</v>
      </c>
      <c r="J21" s="30"/>
      <c r="K21" s="36">
        <v>20</v>
      </c>
      <c r="L21" s="35"/>
      <c r="M21" s="35"/>
      <c r="N21" s="35"/>
      <c r="O21" s="35"/>
      <c r="P21" s="37"/>
      <c r="Q21" s="22">
        <v>-192.88658142089844</v>
      </c>
      <c r="R21" s="22">
        <v>1492.2435302734375</v>
      </c>
      <c r="S21" s="22">
        <v>13.63719654083252</v>
      </c>
      <c r="T21" s="23" t="s">
        <v>134</v>
      </c>
      <c r="U21" s="23">
        <f t="shared" si="2"/>
        <v>1473.3965277848438</v>
      </c>
      <c r="W21" s="3" t="s">
        <v>79</v>
      </c>
      <c r="X21" s="5">
        <f ca="1">X18-X20</f>
        <v>1.3317595664395618</v>
      </c>
      <c r="Z21" s="3" t="s">
        <v>80</v>
      </c>
      <c r="AA21" s="5">
        <f ca="1">-AA18*SIN(X6)+AA19*COS(X6)</f>
        <v>6961.5529583909329</v>
      </c>
      <c r="AC21" s="23">
        <v>180</v>
      </c>
      <c r="AD21" s="23">
        <f t="shared" si="0"/>
        <v>23.469161987304691</v>
      </c>
      <c r="AE21" s="23">
        <f t="array" ref="AE21:AG21">FLEXCOMPBIAXL1($B$4,$B$5,$B$6,$B$15,$B$16,$B$17,$B$18,$B$11,$B$12,$B$13,$B$7,$B$8,AC21,AD21,$B$3,$B$14)</f>
        <v>-220.53393456755089</v>
      </c>
      <c r="AF21" s="23">
        <v>-2676.8077372123416</v>
      </c>
      <c r="AG21" s="23">
        <v>-4720.964167705657</v>
      </c>
      <c r="AI21" s="23">
        <v>180</v>
      </c>
      <c r="AJ21" s="23">
        <f t="shared" si="1"/>
        <v>15.029830932617191</v>
      </c>
      <c r="AK21" s="23">
        <f t="array" ref="AK21:AM21">FLEXCOMPBIAXL1($B$4,$B$5,$B$6,$B$15,$B$16,$B$17,$B$18,$B$11,$B$12,$B$13,$B$7,$B$8,AI21,AJ21,$B$3,$B$14)</f>
        <v>-112.71850949313028</v>
      </c>
      <c r="AL21" s="23">
        <v>-2229.7480111693317</v>
      </c>
      <c r="AM21" s="23">
        <v>-4579.2507964082779</v>
      </c>
      <c r="AO21" s="23">
        <v>42.196870594086874</v>
      </c>
      <c r="AP21" s="23">
        <v>-4534.092764460077</v>
      </c>
      <c r="AQ21" s="23">
        <v>-1563.0322483044131</v>
      </c>
      <c r="AR21" s="23">
        <f t="shared" si="3"/>
        <v>-4249.1070726197877</v>
      </c>
    </row>
    <row r="22" spans="1:44" x14ac:dyDescent="0.2">
      <c r="A22" s="24"/>
      <c r="B22" s="13"/>
      <c r="C22" s="13"/>
      <c r="D22" s="13"/>
      <c r="E22" s="13"/>
      <c r="F22" s="13"/>
      <c r="G22" s="13"/>
      <c r="H22" s="13"/>
      <c r="I22" s="24"/>
      <c r="J22" s="13"/>
      <c r="K22" s="13"/>
      <c r="L22" s="13"/>
      <c r="M22" s="13"/>
      <c r="N22" s="13"/>
      <c r="O22" s="13"/>
      <c r="P22" s="14"/>
      <c r="Q22" s="22">
        <v>-193.33409118652344</v>
      </c>
      <c r="R22" s="22">
        <v>1490.27392578125</v>
      </c>
      <c r="S22" s="22">
        <v>14.868695259094238</v>
      </c>
      <c r="T22" s="23" t="s">
        <v>135</v>
      </c>
      <c r="U22" s="23">
        <f t="shared" si="2"/>
        <v>1471.264801003776</v>
      </c>
      <c r="Z22" s="3" t="s">
        <v>81</v>
      </c>
      <c r="AA22" s="19">
        <f ca="1">MAX($AA$6*AA17,AA10)</f>
        <v>-194.17897562656123</v>
      </c>
      <c r="AC22" s="23">
        <v>190</v>
      </c>
      <c r="AD22" s="23">
        <f t="shared" si="0"/>
        <v>37.054932778575733</v>
      </c>
      <c r="AE22" s="23">
        <f t="array" ref="AE22:AG22">FLEXCOMPBIAXL1($B$4,$B$5,$B$6,$B$15,$B$16,$B$17,$B$18,$B$11,$B$12,$B$13,$B$7,$B$8,AC22,AD22,$B$3,$B$14)</f>
        <v>-220.52625279810599</v>
      </c>
      <c r="AF22" s="23">
        <v>-2345.0713003410438</v>
      </c>
      <c r="AG22" s="23">
        <v>-3754.0864443941559</v>
      </c>
      <c r="AI22" s="23">
        <v>190</v>
      </c>
      <c r="AJ22" s="23">
        <f t="shared" si="1"/>
        <v>21.72981324396747</v>
      </c>
      <c r="AK22" s="23">
        <f t="array" ref="AK22:AM22">FLEXCOMPBIAXL1($B$4,$B$5,$B$6,$B$15,$B$16,$B$17,$B$18,$B$11,$B$12,$B$13,$B$7,$B$8,AI22,AJ22,$B$3,$B$14)</f>
        <v>-112.73117465356033</v>
      </c>
      <c r="AL22" s="23">
        <v>-3698.9394988623799</v>
      </c>
      <c r="AM22" s="23">
        <v>-4495.2354256553444</v>
      </c>
      <c r="AO22" s="23">
        <v>-3.1794641420349592</v>
      </c>
      <c r="AP22" s="23">
        <v>-4445.4249271137187</v>
      </c>
      <c r="AQ22" s="23">
        <v>-1540.0745416780317</v>
      </c>
      <c r="AR22" s="23">
        <f t="shared" si="3"/>
        <v>-4164.8736593958292</v>
      </c>
    </row>
    <row r="23" spans="1:44" x14ac:dyDescent="0.2">
      <c r="A23" s="24"/>
      <c r="B23" s="13"/>
      <c r="C23" s="13"/>
      <c r="D23" s="13"/>
      <c r="E23" s="13"/>
      <c r="F23" s="13"/>
      <c r="G23" s="13"/>
      <c r="H23" s="13"/>
      <c r="I23" s="24"/>
      <c r="J23" s="13"/>
      <c r="K23" s="13"/>
      <c r="L23" s="13"/>
      <c r="M23" s="13"/>
      <c r="N23" s="13"/>
      <c r="O23" s="13"/>
      <c r="P23" s="14"/>
      <c r="Q23" s="22">
        <v>-193.28602600097656</v>
      </c>
      <c r="R23" s="22">
        <v>1490.1380615234375</v>
      </c>
      <c r="S23" s="22">
        <v>9.4210004806518555</v>
      </c>
      <c r="T23" s="23" t="s">
        <v>196</v>
      </c>
      <c r="U23" s="23">
        <f t="shared" si="2"/>
        <v>1471.9457620074238</v>
      </c>
      <c r="Z23" s="3" t="s">
        <v>82</v>
      </c>
      <c r="AA23" s="19">
        <f ca="1">$AA$6*AA20</f>
        <v>1279.0397863438932</v>
      </c>
      <c r="AC23" s="23">
        <v>200</v>
      </c>
      <c r="AD23" s="23">
        <f t="shared" si="0"/>
        <v>45.383241649456181</v>
      </c>
      <c r="AE23" s="23">
        <f t="array" ref="AE23:AG23">FLEXCOMPBIAXL1($B$4,$B$5,$B$6,$B$15,$B$16,$B$17,$B$18,$B$11,$B$12,$B$13,$B$7,$B$8,AC23,AD23,$B$3,$B$14)</f>
        <v>-220.53107547841674</v>
      </c>
      <c r="AF23" s="23">
        <v>-2548.2745437334706</v>
      </c>
      <c r="AG23" s="23">
        <v>-3469.8619404896785</v>
      </c>
      <c r="AI23" s="23">
        <v>200</v>
      </c>
      <c r="AJ23" s="23">
        <f t="shared" si="1"/>
        <v>29.230412525677608</v>
      </c>
      <c r="AK23" s="23">
        <f t="array" ref="AK23:AM23">FLEXCOMPBIAXL1($B$4,$B$5,$B$6,$B$15,$B$16,$B$17,$B$18,$B$11,$B$12,$B$13,$B$7,$B$8,AI23,AJ23,$B$3,$B$14)</f>
        <v>-112.73796365097485</v>
      </c>
      <c r="AL23" s="23">
        <v>-4253.1801166763516</v>
      </c>
      <c r="AM23" s="23">
        <v>-3977.9605092373668</v>
      </c>
      <c r="AO23" s="23">
        <v>-48.51255611296434</v>
      </c>
      <c r="AP23" s="23">
        <v>-4196.7400102697229</v>
      </c>
      <c r="AQ23" s="23">
        <v>-1442.3946583700792</v>
      </c>
      <c r="AR23" s="23">
        <f t="shared" si="3"/>
        <v>-3933.6081517327248</v>
      </c>
    </row>
    <row r="24" spans="1:44" x14ac:dyDescent="0.2">
      <c r="A24" s="24"/>
      <c r="B24" s="13"/>
      <c r="C24" s="13"/>
      <c r="D24" s="13"/>
      <c r="E24" s="13"/>
      <c r="F24" s="13"/>
      <c r="G24" s="13"/>
      <c r="H24" s="13"/>
      <c r="I24" s="24"/>
      <c r="J24" s="13"/>
      <c r="K24" s="13"/>
      <c r="L24" s="13"/>
      <c r="M24" s="13"/>
      <c r="N24" s="13"/>
      <c r="O24" s="13"/>
      <c r="P24" s="14"/>
      <c r="Q24" s="22">
        <v>-192.93417358398438</v>
      </c>
      <c r="R24" s="22">
        <v>1488.8291015625</v>
      </c>
      <c r="S24" s="22">
        <v>5.1829361915588379</v>
      </c>
      <c r="T24" s="23" t="s">
        <v>199</v>
      </c>
      <c r="U24" s="23">
        <f t="shared" si="2"/>
        <v>1471.2858072789504</v>
      </c>
      <c r="Z24" s="3" t="s">
        <v>83</v>
      </c>
      <c r="AA24" s="19">
        <f ca="1">$AA$6*AA21</f>
        <v>4972.3052748369382</v>
      </c>
      <c r="AC24" s="23">
        <v>210</v>
      </c>
      <c r="AD24" s="23">
        <f t="shared" si="0"/>
        <v>52.644481317621484</v>
      </c>
      <c r="AE24" s="23">
        <f t="array" ref="AE24:AG24">FLEXCOMPBIAXL1($B$4,$B$5,$B$6,$B$15,$B$16,$B$17,$B$18,$B$11,$B$12,$B$13,$B$7,$B$8,AC24,AD24,$B$3,$B$14)</f>
        <v>-220.52296224241036</v>
      </c>
      <c r="AF24" s="23">
        <v>-2687.5724491135975</v>
      </c>
      <c r="AG24" s="23">
        <v>-3226.7710430241154</v>
      </c>
      <c r="AI24" s="23">
        <v>210</v>
      </c>
      <c r="AJ24" s="23">
        <f t="shared" si="1"/>
        <v>36.840923996349531</v>
      </c>
      <c r="AK24" s="23">
        <f t="array" ref="AK24:AM24">FLEXCOMPBIAXL1($B$4,$B$5,$B$6,$B$15,$B$16,$B$17,$B$18,$B$11,$B$12,$B$13,$B$7,$B$8,AI24,AJ24,$B$3,$B$14)</f>
        <v>-112.77557089410722</v>
      </c>
      <c r="AL24" s="23">
        <v>-4180.9761233947847</v>
      </c>
      <c r="AM24" s="23">
        <v>-3449.5924037073223</v>
      </c>
      <c r="AO24" s="23">
        <v>-77.714884420564772</v>
      </c>
      <c r="AP24" s="23">
        <v>-3987.7702511480547</v>
      </c>
      <c r="AQ24" s="23">
        <v>-1210.8625656320839</v>
      </c>
      <c r="AR24" s="23">
        <f t="shared" si="3"/>
        <v>-3761.6426708162871</v>
      </c>
    </row>
    <row r="25" spans="1:44" x14ac:dyDescent="0.2">
      <c r="A25" s="24"/>
      <c r="B25" s="13"/>
      <c r="C25" s="13"/>
      <c r="D25" s="13"/>
      <c r="E25" s="13"/>
      <c r="F25" s="13"/>
      <c r="G25" s="13"/>
      <c r="H25" s="13"/>
      <c r="I25" s="24"/>
      <c r="J25" s="13"/>
      <c r="K25" s="13"/>
      <c r="L25" s="13"/>
      <c r="M25" s="13"/>
      <c r="N25" s="13"/>
      <c r="O25" s="13"/>
      <c r="P25" s="14"/>
      <c r="Q25" s="22">
        <v>-193.12751770019531</v>
      </c>
      <c r="R25" s="22">
        <v>1487.79052734375</v>
      </c>
      <c r="S25" s="22">
        <v>5.6043000221252441</v>
      </c>
      <c r="T25" s="23" t="s">
        <v>136</v>
      </c>
      <c r="U25" s="23">
        <f t="shared" si="2"/>
        <v>1470.1958690038769</v>
      </c>
      <c r="AC25" s="23">
        <v>220</v>
      </c>
      <c r="AD25" s="23">
        <f t="shared" si="0"/>
        <v>58.500286451928957</v>
      </c>
      <c r="AE25" s="23">
        <f t="array" ref="AE25:AG25">FLEXCOMPBIAXL1($B$4,$B$5,$B$6,$B$15,$B$16,$B$17,$B$18,$B$11,$B$12,$B$13,$B$7,$B$8,AC25,AD25,$B$3,$B$14)</f>
        <v>-220.54939962831844</v>
      </c>
      <c r="AF25" s="23">
        <v>-2832.1332756108877</v>
      </c>
      <c r="AG25" s="23">
        <v>-2980.9293161838368</v>
      </c>
      <c r="AI25" s="23">
        <v>220</v>
      </c>
      <c r="AJ25" s="23">
        <f t="shared" si="1"/>
        <v>42.953565779046272</v>
      </c>
      <c r="AK25" s="23">
        <f t="array" ref="AK25:AM25">FLEXCOMPBIAXL1($B$4,$B$5,$B$6,$B$15,$B$16,$B$17,$B$18,$B$11,$B$12,$B$13,$B$7,$B$8,AI25,AJ25,$B$3,$B$14)</f>
        <v>-112.76898792813459</v>
      </c>
      <c r="AL25" s="23">
        <v>-4065.7542867079487</v>
      </c>
      <c r="AM25" s="23">
        <v>-3048.3596191451402</v>
      </c>
      <c r="AO25" s="23">
        <v>-123.85979489621394</v>
      </c>
      <c r="AP25" s="23">
        <v>-3911.6096137969207</v>
      </c>
      <c r="AQ25" s="23">
        <v>-1064.3405877307819</v>
      </c>
      <c r="AR25" s="23">
        <f t="shared" si="3"/>
        <v>-3708.2680706478222</v>
      </c>
    </row>
    <row r="26" spans="1:44" x14ac:dyDescent="0.2">
      <c r="A26" s="24"/>
      <c r="B26" s="13"/>
      <c r="C26" s="13"/>
      <c r="D26" s="13"/>
      <c r="E26" s="13"/>
      <c r="F26" s="13"/>
      <c r="G26" s="13"/>
      <c r="H26" s="13"/>
      <c r="I26" s="24"/>
      <c r="J26" s="13"/>
      <c r="K26" s="13"/>
      <c r="L26" s="13"/>
      <c r="M26" s="13"/>
      <c r="N26" s="13"/>
      <c r="O26" s="13"/>
      <c r="P26" s="14"/>
      <c r="Q26" s="22">
        <v>-193.22996520996094</v>
      </c>
      <c r="R26" s="22">
        <v>1487.433349609375</v>
      </c>
      <c r="S26" s="22">
        <v>12.763696670532227</v>
      </c>
      <c r="T26" s="23" t="s">
        <v>139</v>
      </c>
      <c r="U26" s="23">
        <f t="shared" si="2"/>
        <v>1468.771247649473</v>
      </c>
      <c r="AC26" s="23">
        <v>230</v>
      </c>
      <c r="AD26" s="23">
        <f t="shared" si="0"/>
        <v>62.706822993104666</v>
      </c>
      <c r="AE26" s="23">
        <f t="array" ref="AE26:AG26">FLEXCOMPBIAXL1($B$4,$B$5,$B$6,$B$15,$B$16,$B$17,$B$18,$B$11,$B$12,$B$13,$B$7,$B$8,AC26,AD26,$B$3,$B$14)</f>
        <v>-220.56782863799222</v>
      </c>
      <c r="AF26" s="23">
        <v>-3008.8874520127647</v>
      </c>
      <c r="AG26" s="23">
        <v>-2687.1425045437873</v>
      </c>
      <c r="AI26" s="23">
        <v>230</v>
      </c>
      <c r="AJ26" s="23">
        <f t="shared" si="1"/>
        <v>47.335254154948238</v>
      </c>
      <c r="AK26" s="23">
        <f t="array" ref="AK26:AM26">FLEXCOMPBIAXL1($B$4,$B$5,$B$6,$B$15,$B$16,$B$17,$B$18,$B$11,$B$12,$B$13,$B$7,$B$8,AI26,AJ26,$B$3,$B$14)</f>
        <v>-112.763788550976</v>
      </c>
      <c r="AL26" s="23">
        <v>-3910.5877216832146</v>
      </c>
      <c r="AM26" s="23">
        <v>-2671.2973712308594</v>
      </c>
      <c r="AO26" s="23">
        <v>-175.9052087100419</v>
      </c>
      <c r="AP26" s="23">
        <v>-3735.7798738509114</v>
      </c>
      <c r="AQ26" s="23">
        <v>-863.38355582316581</v>
      </c>
      <c r="AR26" s="23">
        <f t="shared" si="3"/>
        <v>-3564.4935514747008</v>
      </c>
    </row>
    <row r="27" spans="1:44" x14ac:dyDescent="0.2">
      <c r="A27" s="24"/>
      <c r="B27" s="13"/>
      <c r="C27" s="13"/>
      <c r="D27" s="13"/>
      <c r="E27" s="13"/>
      <c r="F27" s="13"/>
      <c r="G27" s="13"/>
      <c r="H27" s="13"/>
      <c r="I27" s="24"/>
      <c r="J27" s="13"/>
      <c r="K27" s="13"/>
      <c r="L27" s="13"/>
      <c r="M27" s="13"/>
      <c r="N27" s="13"/>
      <c r="O27" s="13"/>
      <c r="P27" s="14"/>
      <c r="Q27" s="22">
        <v>-192.92535400390625</v>
      </c>
      <c r="R27" s="22">
        <v>1486.22900390625</v>
      </c>
      <c r="S27" s="22">
        <v>5.4095206260681152</v>
      </c>
      <c r="T27" s="23" t="s">
        <v>200</v>
      </c>
      <c r="U27" s="23">
        <f t="shared" si="2"/>
        <v>1468.6810823319165</v>
      </c>
      <c r="AC27" s="23">
        <v>240</v>
      </c>
      <c r="AD27" s="23">
        <f t="shared" si="0"/>
        <v>64.686193649140321</v>
      </c>
      <c r="AE27" s="23">
        <f t="array" ref="AE27:AG27">FLEXCOMPBIAXL1($B$4,$B$5,$B$6,$B$15,$B$16,$B$17,$B$18,$B$11,$B$12,$B$13,$B$7,$B$8,AC27,AD27,$B$3,$B$14)</f>
        <v>-220.52598472409582</v>
      </c>
      <c r="AF27" s="23">
        <v>-3186.1124971657373</v>
      </c>
      <c r="AG27" s="23">
        <v>-2344.9386138903265</v>
      </c>
      <c r="AI27" s="23">
        <v>240</v>
      </c>
      <c r="AJ27" s="23">
        <f t="shared" si="1"/>
        <v>49.849528283920819</v>
      </c>
      <c r="AK27" s="23">
        <f t="array" ref="AK27:AM27">FLEXCOMPBIAXL1($B$4,$B$5,$B$6,$B$15,$B$16,$B$17,$B$18,$B$11,$B$12,$B$13,$B$7,$B$8,AI27,AJ27,$B$3,$B$14)</f>
        <v>-112.76451191072844</v>
      </c>
      <c r="AL27" s="23">
        <v>-3836.9424181020108</v>
      </c>
      <c r="AM27" s="23">
        <v>-2392.0094614909981</v>
      </c>
      <c r="AO27" s="23">
        <v>-236.90339634022348</v>
      </c>
      <c r="AP27" s="23">
        <v>-3347.264823947658</v>
      </c>
      <c r="AQ27" s="23">
        <v>-631.25267220500859</v>
      </c>
      <c r="AR27" s="23">
        <f t="shared" si="3"/>
        <v>-3215.0944848945956</v>
      </c>
    </row>
    <row r="28" spans="1:44" x14ac:dyDescent="0.2">
      <c r="A28" s="24"/>
      <c r="B28" s="13"/>
      <c r="C28" s="13"/>
      <c r="D28" s="13"/>
      <c r="E28" s="13"/>
      <c r="F28" s="13"/>
      <c r="G28" s="13"/>
      <c r="H28" s="13"/>
      <c r="I28" s="24"/>
      <c r="J28" s="13"/>
      <c r="K28" s="13"/>
      <c r="L28" s="13"/>
      <c r="M28" s="13"/>
      <c r="N28" s="13"/>
      <c r="O28" s="13"/>
      <c r="P28" s="14"/>
      <c r="Q28" s="22">
        <v>-193.08421325683594</v>
      </c>
      <c r="R28" s="22">
        <v>1485.0576171875</v>
      </c>
      <c r="S28" s="22">
        <v>3.8880734443664551</v>
      </c>
      <c r="T28" s="23" t="s">
        <v>137</v>
      </c>
      <c r="U28" s="23">
        <f t="shared" si="2"/>
        <v>1467.7505859714488</v>
      </c>
      <c r="AC28" s="23">
        <v>250</v>
      </c>
      <c r="AD28" s="23">
        <f t="shared" si="0"/>
        <v>64.013988989325071</v>
      </c>
      <c r="AE28" s="23">
        <f t="array" ref="AE28:AG28">FLEXCOMPBIAXL1($B$4,$B$5,$B$6,$B$15,$B$16,$B$17,$B$18,$B$11,$B$12,$B$13,$B$7,$B$8,AC28,AD28,$B$3,$B$14)</f>
        <v>-220.51781067907254</v>
      </c>
      <c r="AF28" s="23">
        <v>-3357.0978119524784</v>
      </c>
      <c r="AG28" s="23">
        <v>-1912.5780727024683</v>
      </c>
      <c r="AI28" s="23">
        <v>250</v>
      </c>
      <c r="AJ28" s="23">
        <f t="shared" si="1"/>
        <v>50.089542710126793</v>
      </c>
      <c r="AK28" s="23">
        <f t="array" ref="AK28:AM28">FLEXCOMPBIAXL1($B$4,$B$5,$B$6,$B$15,$B$16,$B$17,$B$18,$B$11,$B$12,$B$13,$B$7,$B$8,AI28,AJ28,$B$3,$B$14)</f>
        <v>-112.76090932206964</v>
      </c>
      <c r="AL28" s="23">
        <v>-3860.7097939130126</v>
      </c>
      <c r="AM28" s="23">
        <v>-2173.06869780742</v>
      </c>
      <c r="AO28" s="23">
        <v>-310.23830065553722</v>
      </c>
      <c r="AP28" s="23">
        <v>-2506.1935190741083</v>
      </c>
      <c r="AQ28" s="23">
        <v>-305.23402994630305</v>
      </c>
      <c r="AR28" s="23">
        <f t="shared" si="3"/>
        <v>-2432.2871057276247</v>
      </c>
    </row>
    <row r="29" spans="1:44" x14ac:dyDescent="0.2">
      <c r="A29" s="24"/>
      <c r="B29" s="13"/>
      <c r="C29" s="13"/>
      <c r="D29" s="13"/>
      <c r="E29" s="13"/>
      <c r="F29" s="13"/>
      <c r="G29" s="13"/>
      <c r="H29" s="13"/>
      <c r="I29" s="24"/>
      <c r="J29" s="13"/>
      <c r="K29" s="13"/>
      <c r="L29" s="13"/>
      <c r="M29" s="13"/>
      <c r="N29" s="13"/>
      <c r="O29" s="13"/>
      <c r="P29" s="14"/>
      <c r="Q29" s="22">
        <v>-193.27755737304688</v>
      </c>
      <c r="R29" s="22">
        <v>1484.0189208984375</v>
      </c>
      <c r="S29" s="22">
        <v>4.3094367980957031</v>
      </c>
      <c r="T29" s="23" t="s">
        <v>195</v>
      </c>
      <c r="U29" s="23">
        <f t="shared" si="2"/>
        <v>1466.6605270722168</v>
      </c>
      <c r="AC29" s="23">
        <v>260</v>
      </c>
      <c r="AD29" s="23">
        <f t="shared" si="0"/>
        <v>61.307340551353256</v>
      </c>
      <c r="AE29" s="23">
        <f t="array" ref="AE29:AG29">FLEXCOMPBIAXL1($B$4,$B$5,$B$6,$B$15,$B$16,$B$17,$B$18,$B$11,$B$12,$B$13,$B$7,$B$8,AC29,AD29,$B$3,$B$14)</f>
        <v>-220.52826091655245</v>
      </c>
      <c r="AF29" s="23">
        <v>-3457.9703118202342</v>
      </c>
      <c r="AG29" s="23">
        <v>-1503.0569519362937</v>
      </c>
      <c r="AI29" s="23">
        <v>260</v>
      </c>
      <c r="AJ29" s="23">
        <f t="shared" si="1"/>
        <v>48.567064159305907</v>
      </c>
      <c r="AK29" s="23">
        <f t="array" ref="AK29:AM29">FLEXCOMPBIAXL1($B$4,$B$5,$B$6,$B$15,$B$16,$B$17,$B$18,$B$11,$B$12,$B$13,$B$7,$B$8,AI29,AJ29,$B$3,$B$14)</f>
        <v>-112.79508449651222</v>
      </c>
      <c r="AL29" s="23">
        <v>-3892.1220402246749</v>
      </c>
      <c r="AM29" s="23">
        <v>-1939.0671763608764</v>
      </c>
      <c r="AO29" s="23">
        <v>-361.90593000407807</v>
      </c>
      <c r="AP29" s="23">
        <v>-1611.0443954338177</v>
      </c>
      <c r="AQ29" s="23">
        <v>-81.696463320181849</v>
      </c>
      <c r="AR29" s="23">
        <f t="shared" si="3"/>
        <v>-1580.6737594554177</v>
      </c>
    </row>
    <row r="30" spans="1:44" x14ac:dyDescent="0.2">
      <c r="A30" s="24"/>
      <c r="B30" s="13"/>
      <c r="C30" s="13"/>
      <c r="D30" s="13"/>
      <c r="E30" s="13"/>
      <c r="F30" s="13"/>
      <c r="G30" s="13"/>
      <c r="H30" s="13"/>
      <c r="I30" s="24"/>
      <c r="J30" s="13"/>
      <c r="K30" s="13"/>
      <c r="L30" s="13"/>
      <c r="M30" s="13"/>
      <c r="N30" s="13"/>
      <c r="O30" s="13"/>
      <c r="P30" s="14"/>
      <c r="Q30" s="22">
        <v>-193.18312072753906</v>
      </c>
      <c r="R30" s="22">
        <v>1482.6181640625</v>
      </c>
      <c r="S30" s="22">
        <v>4.7538132667541504</v>
      </c>
      <c r="T30" s="23" t="s">
        <v>197</v>
      </c>
      <c r="U30" s="23">
        <f t="shared" si="2"/>
        <v>1465.209041142668</v>
      </c>
      <c r="AC30" s="23">
        <v>270</v>
      </c>
      <c r="AD30" s="23">
        <f t="shared" si="0"/>
        <v>56.760711669921889</v>
      </c>
      <c r="AE30" s="23">
        <f t="array" ref="AE30:AG30">FLEXCOMPBIAXL1($B$4,$B$5,$B$6,$B$15,$B$16,$B$17,$B$18,$B$11,$B$12,$B$13,$B$7,$B$8,AC30,AD30,$B$3,$B$14)</f>
        <v>-220.52012926048195</v>
      </c>
      <c r="AF30" s="23">
        <v>-3509.5348122562618</v>
      </c>
      <c r="AG30" s="23">
        <v>-1079.6423816452523</v>
      </c>
      <c r="AI30" s="23">
        <v>270</v>
      </c>
      <c r="AJ30" s="23">
        <f t="shared" si="1"/>
        <v>44.584197998046889</v>
      </c>
      <c r="AK30" s="23">
        <f t="array" ref="AK30:AM30">FLEXCOMPBIAXL1($B$4,$B$5,$B$6,$B$15,$B$16,$B$17,$B$18,$B$11,$B$12,$B$13,$B$7,$B$8,AI30,AJ30,$B$3,$B$14)</f>
        <v>-112.7479784841252</v>
      </c>
      <c r="AL30" s="23">
        <v>-3982.0348616879687</v>
      </c>
      <c r="AM30" s="23">
        <v>-1538.4899681496133</v>
      </c>
      <c r="AO30" s="27">
        <v>-361.90593000407807</v>
      </c>
      <c r="AP30" s="27">
        <v>-3.8170963540735184E-13</v>
      </c>
      <c r="AQ30" s="27">
        <v>1.4663038810214671E-12</v>
      </c>
      <c r="AR30" s="27">
        <f t="shared" si="3"/>
        <v>-5.9685589803848395E-13</v>
      </c>
    </row>
    <row r="31" spans="1:44" x14ac:dyDescent="0.2">
      <c r="A31" s="24"/>
      <c r="B31" s="13"/>
      <c r="C31" s="13"/>
      <c r="D31" s="13"/>
      <c r="E31" s="13"/>
      <c r="F31" s="13"/>
      <c r="G31" s="13"/>
      <c r="H31" s="13"/>
      <c r="I31" s="24"/>
      <c r="J31" s="13"/>
      <c r="K31" s="13"/>
      <c r="L31" s="13"/>
      <c r="M31" s="13"/>
      <c r="N31" s="13"/>
      <c r="O31" s="13"/>
      <c r="P31" s="14"/>
      <c r="Q31" s="22">
        <v>-193.10670471191406</v>
      </c>
      <c r="R31" s="22">
        <v>1477.9271240234375</v>
      </c>
      <c r="S31" s="22">
        <v>-8.1433172225952148</v>
      </c>
      <c r="T31" s="23" t="s">
        <v>138</v>
      </c>
      <c r="U31" s="23">
        <f t="shared" si="2"/>
        <v>1462.5010012064313</v>
      </c>
      <c r="AC31" s="23">
        <v>280</v>
      </c>
      <c r="AD31" s="23">
        <f t="shared" si="0"/>
        <v>54.597713501664813</v>
      </c>
      <c r="AE31" s="23">
        <f t="array" ref="AE31:AG31">FLEXCOMPBIAXL1($B$4,$B$5,$B$6,$B$15,$B$16,$B$17,$B$18,$B$11,$B$12,$B$13,$B$7,$B$8,AC31,AD31,$B$3,$B$14)</f>
        <v>-220.55425609511298</v>
      </c>
      <c r="AF31" s="23">
        <v>-3463.8275897135081</v>
      </c>
      <c r="AG31" s="23">
        <v>-623.14335100856943</v>
      </c>
      <c r="AI31" s="23">
        <v>280</v>
      </c>
      <c r="AJ31" s="23">
        <f t="shared" si="1"/>
        <v>42.936795393872231</v>
      </c>
      <c r="AK31" s="23">
        <f t="array" ref="AK31:AM31">FLEXCOMPBIAXL1($B$4,$B$5,$B$6,$B$15,$B$16,$B$17,$B$18,$B$11,$B$12,$B$13,$B$7,$B$8,AI31,AJ31,$B$3,$B$14)</f>
        <v>-112.76251059935058</v>
      </c>
      <c r="AL31" s="23">
        <v>-3923.2663680559458</v>
      </c>
      <c r="AM31" s="23">
        <v>-1028.6866989478478</v>
      </c>
    </row>
    <row r="32" spans="1:44" x14ac:dyDescent="0.2">
      <c r="A32" s="24"/>
      <c r="B32" s="13"/>
      <c r="C32" s="13"/>
      <c r="D32" s="13"/>
      <c r="E32" s="13"/>
      <c r="F32" s="13"/>
      <c r="G32" s="13"/>
      <c r="H32" s="13"/>
      <c r="I32" s="24"/>
      <c r="J32" s="13"/>
      <c r="K32" s="13"/>
      <c r="L32" s="13"/>
      <c r="M32" s="13"/>
      <c r="N32" s="13"/>
      <c r="O32" s="13"/>
      <c r="P32" s="14"/>
      <c r="Q32" s="22">
        <v>-201.91981506347656</v>
      </c>
      <c r="R32" s="22">
        <v>1310.0308837890625</v>
      </c>
      <c r="S32" s="22">
        <v>13.056838989257813</v>
      </c>
      <c r="T32" s="23" t="s">
        <v>190</v>
      </c>
      <c r="U32" s="23">
        <f t="shared" si="2"/>
        <v>1293.3228682386894</v>
      </c>
      <c r="AC32" s="23">
        <v>290</v>
      </c>
      <c r="AD32" s="23">
        <f t="shared" si="0"/>
        <v>50.892834928305234</v>
      </c>
      <c r="AE32" s="23">
        <f t="array" ref="AE32:AG32">FLEXCOMPBIAXL1($B$4,$B$5,$B$6,$B$15,$B$16,$B$17,$B$18,$B$11,$B$12,$B$13,$B$7,$B$8,AC32,AD32,$B$3,$B$14)</f>
        <v>-220.53623884320226</v>
      </c>
      <c r="AF32" s="23">
        <v>-3337.9852579032272</v>
      </c>
      <c r="AG32" s="23">
        <v>-124.16847418557244</v>
      </c>
      <c r="AI32" s="23">
        <v>290</v>
      </c>
      <c r="AJ32" s="23">
        <f t="shared" si="1"/>
        <v>39.922879871800149</v>
      </c>
      <c r="AK32" s="23">
        <f t="array" ref="AK32:AM32">FLEXCOMPBIAXL1($B$4,$B$5,$B$6,$B$15,$B$16,$B$17,$B$18,$B$11,$B$12,$B$13,$B$7,$B$8,AI32,AJ32,$B$3,$B$14)</f>
        <v>-112.74699301403467</v>
      </c>
      <c r="AL32" s="23">
        <v>-3805.1061114862432</v>
      </c>
      <c r="AM32" s="23">
        <v>-459.67692645990184</v>
      </c>
    </row>
    <row r="33" spans="1:45" x14ac:dyDescent="0.2">
      <c r="A33" s="24"/>
      <c r="B33" s="13"/>
      <c r="C33" s="13"/>
      <c r="D33" s="13"/>
      <c r="E33" s="13"/>
      <c r="F33" s="13"/>
      <c r="G33" s="13"/>
      <c r="H33" s="13"/>
      <c r="I33" s="24"/>
      <c r="J33" s="13"/>
      <c r="K33" s="13"/>
      <c r="L33" s="13"/>
      <c r="M33" s="13"/>
      <c r="N33" s="13"/>
      <c r="O33" s="13"/>
      <c r="P33" s="14"/>
      <c r="Q33" s="22">
        <v>-112.908203125</v>
      </c>
      <c r="R33" s="22">
        <v>1177.1680908203125</v>
      </c>
      <c r="S33" s="22">
        <v>739.99456787109375</v>
      </c>
      <c r="T33" s="23" t="s">
        <v>207</v>
      </c>
      <c r="U33" s="23">
        <f t="shared" si="2"/>
        <v>1053.1638321141711</v>
      </c>
      <c r="AC33" s="23">
        <v>300</v>
      </c>
      <c r="AD33" s="23">
        <f t="shared" si="0"/>
        <v>45.600918439273485</v>
      </c>
      <c r="AE33" s="23">
        <f t="array" ref="AE33:AG33">FLEXCOMPBIAXL1($B$4,$B$5,$B$6,$B$15,$B$16,$B$17,$B$18,$B$11,$B$12,$B$13,$B$7,$B$8,AC33,AD33,$B$3,$B$14)</f>
        <v>-220.53056304582424</v>
      </c>
      <c r="AF33" s="23">
        <v>-3116.0795847083068</v>
      </c>
      <c r="AG33" s="23">
        <v>460.75941682720986</v>
      </c>
      <c r="AI33" s="23">
        <v>300</v>
      </c>
      <c r="AJ33" s="23">
        <f t="shared" si="1"/>
        <v>34.997306712486349</v>
      </c>
      <c r="AK33" s="23">
        <f t="array" ref="AK33:AM33">FLEXCOMPBIAXL1($B$4,$B$5,$B$6,$B$15,$B$16,$B$17,$B$18,$B$11,$B$12,$B$13,$B$7,$B$8,AI33,AJ33,$B$3,$B$14)</f>
        <v>-112.74581171193414</v>
      </c>
      <c r="AL33" s="23">
        <v>-3784.3138104629884</v>
      </c>
      <c r="AM33" s="23">
        <v>153.53802097568882</v>
      </c>
    </row>
    <row r="34" spans="1:45" x14ac:dyDescent="0.2">
      <c r="A34" s="24"/>
      <c r="B34" s="13"/>
      <c r="C34" s="13"/>
      <c r="D34" s="13"/>
      <c r="E34" s="13"/>
      <c r="F34" s="13"/>
      <c r="G34" s="13"/>
      <c r="H34" s="13"/>
      <c r="I34" s="24"/>
      <c r="J34" s="13"/>
      <c r="K34" s="13"/>
      <c r="L34" s="13"/>
      <c r="M34" s="13"/>
      <c r="N34" s="13"/>
      <c r="O34" s="13"/>
      <c r="P34" s="14"/>
      <c r="Q34" s="22">
        <v>-192.73565673828125</v>
      </c>
      <c r="R34" s="22">
        <v>1087.398193359375</v>
      </c>
      <c r="S34" s="22">
        <v>-715.2679443359375</v>
      </c>
      <c r="T34" s="23" t="s">
        <v>193</v>
      </c>
      <c r="U34" s="23">
        <f t="shared" si="2"/>
        <v>1182.1976984109365</v>
      </c>
      <c r="AC34" s="23">
        <v>310</v>
      </c>
      <c r="AD34" s="23">
        <f t="shared" si="0"/>
        <v>39.085343603879622</v>
      </c>
      <c r="AE34" s="23">
        <f t="array" ref="AE34:AG34">FLEXCOMPBIAXL1($B$4,$B$5,$B$6,$B$15,$B$16,$B$17,$B$18,$B$11,$B$12,$B$13,$B$7,$B$8,AC34,AD34,$B$3,$B$14)</f>
        <v>-220.52837492881162</v>
      </c>
      <c r="AF34" s="23">
        <v>-2741.7616281044529</v>
      </c>
      <c r="AG34" s="23">
        <v>1167.2842712351799</v>
      </c>
      <c r="AI34" s="23">
        <v>310</v>
      </c>
      <c r="AJ34" s="23">
        <f t="shared" si="1"/>
        <v>28.982049573238292</v>
      </c>
      <c r="AK34" s="23">
        <f t="array" ref="AK34:AM34">FLEXCOMPBIAXL1($B$4,$B$5,$B$6,$B$15,$B$16,$B$17,$B$18,$B$11,$B$12,$B$13,$B$7,$B$8,AI34,AJ34,$B$3,$B$14)</f>
        <v>-112.7978507407912</v>
      </c>
      <c r="AL34" s="23">
        <v>-3524.0503766742668</v>
      </c>
      <c r="AM34" s="23">
        <v>1056.9881895476171</v>
      </c>
    </row>
    <row r="35" spans="1:45" x14ac:dyDescent="0.2">
      <c r="A35" s="24"/>
      <c r="B35" s="13"/>
      <c r="C35" s="13"/>
      <c r="D35" s="13"/>
      <c r="E35" s="13"/>
      <c r="F35" s="13"/>
      <c r="G35" s="13"/>
      <c r="H35" s="13"/>
      <c r="I35" s="24"/>
      <c r="J35" s="13"/>
      <c r="K35" s="13"/>
      <c r="L35" s="13"/>
      <c r="M35" s="13"/>
      <c r="N35" s="13"/>
      <c r="O35" s="13"/>
      <c r="P35" s="14"/>
      <c r="Q35" s="22">
        <v>-175.0601806640625</v>
      </c>
      <c r="R35" s="22">
        <v>1199.4664306640625</v>
      </c>
      <c r="S35" s="22">
        <v>14.428714752197266</v>
      </c>
      <c r="T35" s="23" t="s">
        <v>38</v>
      </c>
      <c r="U35" s="23">
        <f t="shared" si="2"/>
        <v>1183.798310668938</v>
      </c>
      <c r="AC35" s="23">
        <v>320</v>
      </c>
      <c r="AD35" s="23">
        <f t="shared" si="0"/>
        <v>37.300123521514742</v>
      </c>
      <c r="AE35" s="23">
        <f t="array" ref="AE35:AG35">FLEXCOMPBIAXL1($B$4,$B$5,$B$6,$B$15,$B$16,$B$17,$B$18,$B$11,$B$12,$B$13,$B$7,$B$8,AC35,AD35,$B$3,$B$14)</f>
        <v>-220.5244926195158</v>
      </c>
      <c r="AF35" s="23">
        <v>-2081.7970837860357</v>
      </c>
      <c r="AG35" s="23">
        <v>1808.2994313453723</v>
      </c>
      <c r="AI35" s="23">
        <v>320</v>
      </c>
      <c r="AJ35" s="23">
        <f t="shared" si="1"/>
        <v>27.596154628203649</v>
      </c>
      <c r="AK35" s="23">
        <f t="array" ref="AK35:AM35">FLEXCOMPBIAXL1($B$4,$B$5,$B$6,$B$15,$B$16,$B$17,$B$18,$B$11,$B$12,$B$13,$B$7,$B$8,AI35,AJ35,$B$3,$B$14)</f>
        <v>-112.73315873741736</v>
      </c>
      <c r="AL35" s="23">
        <v>-2414.1375567314667</v>
      </c>
      <c r="AM35" s="23">
        <v>2175.4545739713512</v>
      </c>
    </row>
    <row r="36" spans="1:45" x14ac:dyDescent="0.2">
      <c r="A36" s="24"/>
      <c r="B36" s="13"/>
      <c r="C36" s="13"/>
      <c r="D36" s="13"/>
      <c r="E36" s="13"/>
      <c r="F36" s="13"/>
      <c r="G36" s="13"/>
      <c r="H36" s="13"/>
      <c r="I36" s="24"/>
      <c r="J36" s="13"/>
      <c r="K36" s="13"/>
      <c r="L36" s="13"/>
      <c r="M36" s="13"/>
      <c r="N36" s="13"/>
      <c r="O36" s="13"/>
      <c r="P36" s="14"/>
      <c r="Q36" s="22">
        <v>-194.33576965332031</v>
      </c>
      <c r="R36" s="22">
        <v>-0.28983169794082642</v>
      </c>
      <c r="S36" s="22">
        <v>-1137.40185546875</v>
      </c>
      <c r="T36" s="23" t="s">
        <v>193</v>
      </c>
      <c r="U36" s="23">
        <f t="shared" si="2"/>
        <v>169.93555739425258</v>
      </c>
      <c r="AC36" s="23">
        <v>330</v>
      </c>
      <c r="AD36" s="23">
        <f t="shared" si="0"/>
        <v>40.439783993478287</v>
      </c>
      <c r="AE36" s="23">
        <f t="array" ref="AE36:AG36">FLEXCOMPBIAXL1($B$4,$B$5,$B$6,$B$15,$B$16,$B$17,$B$18,$B$11,$B$12,$B$13,$B$7,$B$8,AC36,AD36,$B$3,$B$14)</f>
        <v>-220.55168159519181</v>
      </c>
      <c r="AF36" s="23">
        <v>-1177.0797215125647</v>
      </c>
      <c r="AG36" s="23">
        <v>2305.9563383161444</v>
      </c>
      <c r="AI36" s="23">
        <v>330</v>
      </c>
      <c r="AJ36" s="23">
        <f t="shared" si="1"/>
        <v>31.399940411244412</v>
      </c>
      <c r="AK36" s="23">
        <f t="array" ref="AK36:AM36">FLEXCOMPBIAXL1($B$4,$B$5,$B$6,$B$15,$B$16,$B$17,$B$18,$B$11,$B$12,$B$13,$B$7,$B$8,AI36,AJ36,$B$3,$B$14)</f>
        <v>-112.79810584744494</v>
      </c>
      <c r="AL36" s="23">
        <v>-829.20907746907187</v>
      </c>
      <c r="AM36" s="23">
        <v>2932.8940232089421</v>
      </c>
    </row>
    <row r="37" spans="1:45" x14ac:dyDescent="0.2">
      <c r="A37" s="24"/>
      <c r="B37" s="13"/>
      <c r="C37" s="13"/>
      <c r="D37" s="13"/>
      <c r="E37" s="13"/>
      <c r="F37" s="13"/>
      <c r="G37" s="13"/>
      <c r="H37" s="13"/>
      <c r="I37" s="24"/>
      <c r="J37" s="13"/>
      <c r="K37" s="13"/>
      <c r="L37" s="13"/>
      <c r="M37" s="13"/>
      <c r="N37" s="13"/>
      <c r="O37" s="13"/>
      <c r="P37" s="14"/>
      <c r="Q37" s="22">
        <v>-113.36925506591797</v>
      </c>
      <c r="R37" s="22">
        <v>336.78948974609375</v>
      </c>
      <c r="S37" s="22">
        <v>-1142.3924560546875</v>
      </c>
      <c r="T37" s="23" t="s">
        <v>194</v>
      </c>
      <c r="U37" s="23">
        <f t="shared" si="2"/>
        <v>503.96548131322311</v>
      </c>
      <c r="AC37" s="23">
        <v>340</v>
      </c>
      <c r="AD37" s="23">
        <f t="shared" si="0"/>
        <v>43.199615863381474</v>
      </c>
      <c r="AE37" s="23">
        <f t="array" ref="AE37:AG37">FLEXCOMPBIAXL1($B$4,$B$5,$B$6,$B$15,$B$16,$B$17,$B$18,$B$11,$B$12,$B$13,$B$7,$B$8,AC37,AD37,$B$3,$B$14)</f>
        <v>-220.5482952317038</v>
      </c>
      <c r="AF37" s="23">
        <v>-140.87499641783626</v>
      </c>
      <c r="AG37" s="23">
        <v>2726.1591678093951</v>
      </c>
      <c r="AI37" s="23">
        <v>340</v>
      </c>
      <c r="AJ37" s="23">
        <f t="shared" si="1"/>
        <v>34.248300356559447</v>
      </c>
      <c r="AK37" s="23">
        <f t="array" ref="AK37:AM37">FLEXCOMPBIAXL1($B$4,$B$5,$B$6,$B$15,$B$16,$B$17,$B$18,$B$11,$B$12,$B$13,$B$7,$B$8,AI37,AJ37,$B$3,$B$14)</f>
        <v>-112.78120651767422</v>
      </c>
      <c r="AL37" s="23">
        <v>375.44959324458034</v>
      </c>
      <c r="AM37" s="23">
        <v>3255.9091646818479</v>
      </c>
    </row>
    <row r="38" spans="1:45" x14ac:dyDescent="0.2">
      <c r="A38" s="24"/>
      <c r="B38" s="13"/>
      <c r="C38" s="13"/>
      <c r="D38" s="13"/>
      <c r="E38" s="13"/>
      <c r="F38" s="13"/>
      <c r="G38" s="13"/>
      <c r="H38" s="13"/>
      <c r="I38" s="24"/>
      <c r="J38" s="13"/>
      <c r="K38" s="13"/>
      <c r="L38" s="13"/>
      <c r="M38" s="13"/>
      <c r="N38" s="13"/>
      <c r="O38" s="13"/>
      <c r="P38" s="14"/>
      <c r="Q38" s="22">
        <v>-193.53570556640625</v>
      </c>
      <c r="R38" s="22">
        <v>544.88232421875</v>
      </c>
      <c r="S38" s="22">
        <v>-933.41748046875</v>
      </c>
      <c r="T38" s="23" t="s">
        <v>193</v>
      </c>
      <c r="U38" s="23">
        <f t="shared" si="2"/>
        <v>678.43978341771844</v>
      </c>
      <c r="AC38" s="23">
        <v>350</v>
      </c>
      <c r="AD38" s="23">
        <f t="shared" si="0"/>
        <v>45.059327990825381</v>
      </c>
      <c r="AE38" s="23">
        <f t="array" ref="AE38:AG38">FLEXCOMPBIAXL1($B$4,$B$5,$B$6,$B$15,$B$16,$B$17,$B$18,$B$11,$B$12,$B$13,$B$7,$B$8,AC38,AD38,$B$3,$B$14)</f>
        <v>-220.54567074287564</v>
      </c>
      <c r="AF38" s="23">
        <v>817.94757482880777</v>
      </c>
      <c r="AG38" s="23">
        <v>2961.7623148024782</v>
      </c>
      <c r="AI38" s="23">
        <v>350</v>
      </c>
      <c r="AJ38" s="23">
        <f t="shared" si="1"/>
        <v>35.197917707352133</v>
      </c>
      <c r="AK38" s="23">
        <f t="array" ref="AK38:AM38">FLEXCOMPBIAXL1($B$4,$B$5,$B$6,$B$15,$B$16,$B$17,$B$18,$B$11,$B$12,$B$13,$B$7,$B$8,AI38,AJ38,$B$3,$B$14)</f>
        <v>-112.76099086780731</v>
      </c>
      <c r="AL38" s="23">
        <v>1393.3479234675629</v>
      </c>
      <c r="AM38" s="23">
        <v>3540.1656422719543</v>
      </c>
    </row>
    <row r="39" spans="1:45" x14ac:dyDescent="0.2">
      <c r="A39" s="24"/>
      <c r="B39" s="13"/>
      <c r="C39" s="13"/>
      <c r="D39" s="13"/>
      <c r="E39" s="13"/>
      <c r="F39" s="13"/>
      <c r="G39" s="13"/>
      <c r="H39" s="13"/>
      <c r="I39" s="24"/>
      <c r="J39" s="13"/>
      <c r="K39" s="13"/>
      <c r="L39" s="13"/>
      <c r="M39" s="13"/>
      <c r="N39" s="13"/>
      <c r="O39" s="13"/>
      <c r="P39" s="14"/>
      <c r="Q39" s="22">
        <v>-194.27473449707031</v>
      </c>
      <c r="R39" s="22">
        <v>251.18789672851563</v>
      </c>
      <c r="S39" s="22">
        <v>960.7196044921875</v>
      </c>
      <c r="T39" s="23" t="s">
        <v>192</v>
      </c>
      <c r="U39" s="23">
        <f t="shared" si="2"/>
        <v>104.57886378538151</v>
      </c>
      <c r="AC39" s="27">
        <v>360</v>
      </c>
      <c r="AD39" s="27">
        <f>AD3</f>
        <v>45.428543090820313</v>
      </c>
      <c r="AE39" s="27">
        <f t="shared" ref="AE39:AG39" si="5">AE3</f>
        <v>-220.55423001664863</v>
      </c>
      <c r="AF39" s="27">
        <f t="shared" si="5"/>
        <v>1706.8905199643441</v>
      </c>
      <c r="AG39" s="27">
        <f t="shared" si="5"/>
        <v>3075.5698153602771</v>
      </c>
      <c r="AI39" s="27">
        <v>360</v>
      </c>
      <c r="AJ39" s="27">
        <f t="shared" si="1"/>
        <v>34.249954223632827</v>
      </c>
      <c r="AK39" s="27">
        <f t="shared" ref="AK39:AM39" si="6">AK3</f>
        <v>-112.7592233438355</v>
      </c>
      <c r="AL39" s="27">
        <f t="shared" si="6"/>
        <v>2016.7695207402267</v>
      </c>
      <c r="AM39" s="27">
        <f t="shared" si="6"/>
        <v>3729.7293705027341</v>
      </c>
    </row>
    <row r="40" spans="1:45" x14ac:dyDescent="0.2">
      <c r="A40" s="24"/>
      <c r="B40" s="13"/>
      <c r="C40" s="13"/>
      <c r="D40" s="13"/>
      <c r="E40" s="13"/>
      <c r="F40" s="13"/>
      <c r="G40" s="13"/>
      <c r="H40" s="13"/>
      <c r="I40" s="24"/>
      <c r="J40" s="13"/>
      <c r="K40" s="13"/>
      <c r="L40" s="13"/>
      <c r="M40" s="13"/>
      <c r="N40" s="13"/>
      <c r="O40" s="13"/>
      <c r="P40" s="14"/>
      <c r="Q40" s="22">
        <v>-220.53742980957031</v>
      </c>
      <c r="R40" s="22">
        <v>-827.5919189453125</v>
      </c>
      <c r="S40" s="22">
        <v>13.473413467407227</v>
      </c>
      <c r="T40" s="23" t="s">
        <v>23</v>
      </c>
      <c r="U40" s="23">
        <f t="shared" si="2"/>
        <v>-820.28775418321675</v>
      </c>
    </row>
    <row r="41" spans="1:45" x14ac:dyDescent="0.2">
      <c r="A41" s="24"/>
      <c r="B41" s="13"/>
      <c r="C41" s="13"/>
      <c r="D41" s="13"/>
      <c r="E41" s="13"/>
      <c r="F41" s="13"/>
      <c r="G41" s="13"/>
      <c r="H41" s="13"/>
      <c r="I41" s="24"/>
      <c r="J41" s="13"/>
      <c r="K41" s="13"/>
      <c r="L41" s="13"/>
      <c r="M41" s="13"/>
      <c r="N41" s="13"/>
      <c r="O41" s="13"/>
      <c r="P41" s="14"/>
      <c r="Q41" s="22">
        <v>-112.76921844482422</v>
      </c>
      <c r="R41" s="22">
        <v>352.224365234375</v>
      </c>
      <c r="S41" s="22">
        <v>-939.00054931640625</v>
      </c>
      <c r="T41" s="23" t="s">
        <v>194</v>
      </c>
      <c r="U41" s="23">
        <f t="shared" si="2"/>
        <v>488.78714894567531</v>
      </c>
      <c r="AC41" s="7">
        <f>XCOMPRESSL1($B$4,$B$5,$B$6,$B$15,$B$16,$B$17,$B$18,$B$11,$B$12,$B$13,$B$7,$B$8,B9,$AD$1,$B$3,$B$14)</f>
        <v>38.928416635498991</v>
      </c>
      <c r="AD41" s="7">
        <f t="array" ref="AD41:AF41">FLEXCOMPBIAXL1($B$4,$B$5,$B$6,$B$15,$B$16,$B$17,$B$18,$B$11,$B$12,$B$13,$B$7,$B$8,B9,AC41,$B$3,$B$14)</f>
        <v>-220.55190538163436</v>
      </c>
      <c r="AE41" s="7">
        <v>4447.502070560151</v>
      </c>
      <c r="AF41" s="7">
        <v>1282.230163890466</v>
      </c>
      <c r="AG41" s="7">
        <f t="shared" ref="AG41:AG42" si="7">AF41*COS($X$6)+AE41*SIN($X$6)</f>
        <v>4205.5160733246958</v>
      </c>
      <c r="AI41" s="7">
        <f>XCOMPRESSL1($B$4,$B$5,$B$6,$B$15,$B$16,$B$17,$B$18,$B$11,$B$12,$B$13,$B$7,$B$8,B9,$AJ$1,$B$3,$B$14)</f>
        <v>25.475951033386441</v>
      </c>
      <c r="AJ41" s="7">
        <f t="array" ref="AJ41:AL41">FLEXCOMPBIAXL1($B$4,$B$5,$B$6,$B$15,$B$16,$B$17,$B$18,$B$11,$B$12,$B$13,$B$7,$B$8,B9,AI41,$B$3,$B$14)</f>
        <v>-112.73576215727157</v>
      </c>
      <c r="AK41" s="7">
        <v>5957.0783715559519</v>
      </c>
      <c r="AL41" s="7">
        <v>1150.5922275324353</v>
      </c>
      <c r="AM41" s="7">
        <f t="shared" ref="AM41:AM42" si="8">AL41*COS($X$6)+AK41*SIN($X$6)</f>
        <v>5717.7918580488267</v>
      </c>
    </row>
    <row r="42" spans="1:45" x14ac:dyDescent="0.2">
      <c r="A42" s="34"/>
      <c r="B42" s="35"/>
      <c r="C42" s="35"/>
      <c r="D42" s="35"/>
      <c r="E42" s="35"/>
      <c r="F42" s="35"/>
      <c r="G42" s="35"/>
      <c r="H42" s="35"/>
      <c r="I42" s="34"/>
      <c r="J42" s="35"/>
      <c r="K42" s="35"/>
      <c r="L42" s="35"/>
      <c r="M42" s="35"/>
      <c r="N42" s="35"/>
      <c r="O42" s="35"/>
      <c r="P42" s="37"/>
      <c r="Q42" s="40">
        <v>-203.51991271972656</v>
      </c>
      <c r="R42" s="40">
        <v>-733.01385498046875</v>
      </c>
      <c r="S42" s="40">
        <v>352.15841674804688</v>
      </c>
      <c r="T42" s="27" t="s">
        <v>190</v>
      </c>
      <c r="U42" s="27">
        <f t="shared" si="2"/>
        <v>-777.46202540770992</v>
      </c>
      <c r="AC42" s="7">
        <f>XCOMPRESSL1($B$4,$B$5,$B$6,$B$15,$B$16,$B$17,$B$18,$B$11,$B$12,$B$13,$B$7,$B$8,B9+180,$AD$1,$B$3,$B$14)</f>
        <v>54.992048779544945</v>
      </c>
      <c r="AD42" s="7">
        <f t="array" ref="AD42:AF42">FLEXCOMPBIAXL1($B$4,$B$5,$B$6,$B$15,$B$16,$B$17,$B$18,$B$11,$B$12,$B$13,$B$7,$B$8,B9+180,AC42,$B$3,$B$14)</f>
        <v>-220.55596418771847</v>
      </c>
      <c r="AE42" s="7">
        <v>-3475.7961789207357</v>
      </c>
      <c r="AF42" s="7">
        <v>-689.81653241502772</v>
      </c>
      <c r="AG42" s="7">
        <f t="shared" si="7"/>
        <v>-3333.4136893486802</v>
      </c>
      <c r="AI42" s="7">
        <f>XCOMPRESSL1($B$4,$B$5,$B$6,$B$15,$B$16,$B$17,$B$18,$B$11,$B$12,$B$13,$B$7,$B$8,B9+180,$AJ$1,$B$3,$B$14)</f>
        <v>43.218662422118669</v>
      </c>
      <c r="AJ42" s="7">
        <f t="array" ref="AJ42:AL42">FLEXCOMPBIAXL1($B$4,$B$5,$B$6,$B$15,$B$16,$B$17,$B$18,$B$11,$B$12,$B$13,$B$7,$B$8,B9+180,AI42,$B$3,$B$14)</f>
        <v>-112.7452761697302</v>
      </c>
      <c r="AK42" s="7">
        <v>-3935.974925786064</v>
      </c>
      <c r="AL42" s="7">
        <v>-1098.8989165408354</v>
      </c>
      <c r="AM42" s="7">
        <f t="shared" si="8"/>
        <v>-3727.1870176326993</v>
      </c>
    </row>
    <row r="43" spans="1:45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</row>
    <row r="44" spans="1:45" x14ac:dyDescent="0.2">
      <c r="A44" s="3" t="s">
        <v>84</v>
      </c>
      <c r="B44" s="3" t="s">
        <v>85</v>
      </c>
      <c r="C44" s="3" t="s">
        <v>86</v>
      </c>
      <c r="D44" s="3" t="s">
        <v>87</v>
      </c>
      <c r="E44" s="3" t="s">
        <v>88</v>
      </c>
      <c r="F44" s="3" t="s">
        <v>89</v>
      </c>
      <c r="H44" s="3" t="s">
        <v>90</v>
      </c>
      <c r="I44" s="3" t="s">
        <v>91</v>
      </c>
      <c r="J44" s="3" t="s">
        <v>92</v>
      </c>
      <c r="K44" s="3" t="s">
        <v>93</v>
      </c>
      <c r="W44" s="3" t="s">
        <v>94</v>
      </c>
      <c r="X44" s="3" t="s">
        <v>95</v>
      </c>
      <c r="Y44" s="3" t="s">
        <v>96</v>
      </c>
      <c r="Z44" s="3" t="s">
        <v>97</v>
      </c>
      <c r="AA44" s="3" t="s">
        <v>98</v>
      </c>
      <c r="AB44" s="3" t="s">
        <v>99</v>
      </c>
      <c r="AC44" s="3" t="s">
        <v>100</v>
      </c>
      <c r="AD44" s="3" t="s">
        <v>101</v>
      </c>
      <c r="AE44" s="3" t="s">
        <v>102</v>
      </c>
      <c r="AF44" s="3" t="s">
        <v>103</v>
      </c>
      <c r="AG44" s="3" t="s">
        <v>104</v>
      </c>
      <c r="AH44" s="3" t="s">
        <v>105</v>
      </c>
      <c r="AI44" s="3" t="s">
        <v>106</v>
      </c>
    </row>
    <row r="45" spans="1:45" x14ac:dyDescent="0.2">
      <c r="A45" s="42">
        <f t="array" ref="A45:B51">CONCEL1(B15,B16,B17,B18,B14)</f>
        <v>0</v>
      </c>
      <c r="B45" s="42">
        <v>0</v>
      </c>
      <c r="C45" s="42">
        <f t="shared" ref="C45:C51" ca="1" si="9">A45-$X$15</f>
        <v>-27.686518758812237</v>
      </c>
      <c r="D45" s="42">
        <f t="shared" ref="D45:D51" ca="1" si="10">B45-$X$16</f>
        <v>-22.361358417110949</v>
      </c>
      <c r="E45" s="42">
        <f t="shared" ref="E45:E51" ca="1" si="11">C45*COS($X$6)+D45*SIN($X$6)</f>
        <v>-17.965988927554225</v>
      </c>
      <c r="F45" s="42">
        <f t="shared" ref="F45:F51" ca="1" si="12">-C45*SIN($X$6)+D45*COS($X$6)</f>
        <v>30.721277855837307</v>
      </c>
      <c r="H45" s="18">
        <f t="array" aca="1" ref="H45:I53" ca="1">VERTCOMPRES(E45:F51,X21)</f>
        <v>-17.965988927554225</v>
      </c>
      <c r="I45" s="18">
        <f ca="1"/>
        <v>30.721277855837307</v>
      </c>
      <c r="J45" s="18">
        <f t="shared" ref="J45:J53" ca="1" si="13">H45*COS($X$6)-I45*SIN($X$6)</f>
        <v>-27.686518758812237</v>
      </c>
      <c r="K45" s="18">
        <f t="shared" ref="K45:K53" ca="1" si="14">H45*SIN($X$6)+I45*COS($X$6)</f>
        <v>-22.361358417110949</v>
      </c>
      <c r="W45" s="42">
        <f t="array" ref="W45:Y72">REBAREL1(B15,B16,B17,B18,B11,B12,B13,B7,B8,B14)</f>
        <v>5</v>
      </c>
      <c r="X45" s="42">
        <v>5</v>
      </c>
      <c r="Y45" s="42">
        <v>3.1415926535897931</v>
      </c>
      <c r="Z45" s="18">
        <f t="shared" ref="Z45:Z72" ca="1" si="15">W45-$X$15</f>
        <v>-22.686518758812237</v>
      </c>
      <c r="AA45" s="18">
        <f t="shared" ref="AA45:AA72" ca="1" si="16">X45-$X$16</f>
        <v>-17.361358417110949</v>
      </c>
      <c r="AB45" s="18">
        <f t="shared" ref="AB45:AB72" ca="1" si="17">Z45*COS($X$6)+AA45*SIN($X$6)</f>
        <v>-13.770594053154253</v>
      </c>
      <c r="AC45" s="18">
        <f t="shared" ref="AC45:AC72" ca="1" si="18">-Z45*SIN($X$6)+AA45*COS($X$6)</f>
        <v>25.029295613431902</v>
      </c>
      <c r="AD45" s="18">
        <f t="shared" ref="AD45:AD72" ca="1" si="19">$X$18-AC45</f>
        <v>5.6919822424054054</v>
      </c>
      <c r="AE45" s="18">
        <f t="shared" ref="AE45:AE72" ca="1" si="20">($B$10-AD45)*$AA$4</f>
        <v>-2.5061315883026944</v>
      </c>
      <c r="AF45" s="18">
        <f t="shared" ref="AF45:AF72" ca="1" si="21">IF(ABS(AE45)&lt;$X$7,AE45*$B$6/1000,SIGN(AE45)*$B$5)-IF(AD45&lt;$X$20,$X$8)</f>
        <v>-4.0214998148381706</v>
      </c>
      <c r="AG45" s="18">
        <f ca="1">Y45*AF45</f>
        <v>-12.63391427470831</v>
      </c>
      <c r="AH45" s="18">
        <f ca="1">AG45*AC45</f>
        <v>-316.21797513643139</v>
      </c>
      <c r="AI45" s="18">
        <f ca="1">AG45*AB45</f>
        <v>173.97650477935889</v>
      </c>
    </row>
    <row r="46" spans="1:45" x14ac:dyDescent="0.2">
      <c r="A46" s="43">
        <v>70</v>
      </c>
      <c r="B46" s="43">
        <v>0</v>
      </c>
      <c r="C46" s="43">
        <f t="shared" ca="1" si="9"/>
        <v>42.313481241187759</v>
      </c>
      <c r="D46" s="43">
        <f t="shared" ca="1" si="10"/>
        <v>-22.361358417110949</v>
      </c>
      <c r="E46" s="43">
        <f t="shared" ca="1" si="11"/>
        <v>-28.442100503592243</v>
      </c>
      <c r="F46" s="43">
        <f t="shared" ca="1" si="12"/>
        <v>-38.490361961800318</v>
      </c>
      <c r="H46" s="23">
        <f ca="1"/>
        <v>-22.414487382105794</v>
      </c>
      <c r="I46" s="23">
        <f ca="1"/>
        <v>1.3317595664395618</v>
      </c>
      <c r="J46" s="23">
        <f t="shared" ca="1" si="13"/>
        <v>2.0377629614075494</v>
      </c>
      <c r="K46" s="23">
        <f t="shared" ca="1" si="14"/>
        <v>-22.361358417110946</v>
      </c>
      <c r="W46" s="43">
        <v>30</v>
      </c>
      <c r="X46" s="43">
        <v>5</v>
      </c>
      <c r="Y46" s="43">
        <v>3.1415926535897931</v>
      </c>
      <c r="Z46" s="23">
        <f t="shared" ca="1" si="15"/>
        <v>2.3134812411877625</v>
      </c>
      <c r="AA46" s="23">
        <f t="shared" ca="1" si="16"/>
        <v>-17.361358417110949</v>
      </c>
      <c r="AB46" s="23">
        <f t="shared" ca="1" si="17"/>
        <v>-17.51206247316783</v>
      </c>
      <c r="AC46" s="23">
        <f t="shared" ca="1" si="18"/>
        <v>0.31085282141846404</v>
      </c>
      <c r="AD46" s="23">
        <f t="shared" ca="1" si="19"/>
        <v>30.410425034418843</v>
      </c>
      <c r="AE46" s="23">
        <f t="shared" ca="1" si="20"/>
        <v>-0.36142038552081557</v>
      </c>
      <c r="AF46" s="23">
        <f t="shared" ca="1" si="21"/>
        <v>-0.75898280959371267</v>
      </c>
      <c r="AG46" s="23">
        <f t="shared" ref="AG46:AG72" ca="1" si="22">Y46*AF46</f>
        <v>-2.3844148188205483</v>
      </c>
      <c r="AH46" s="23">
        <f t="shared" ref="AH46:AH72" ca="1" si="23">AG46*AC46</f>
        <v>-0.74120207386236314</v>
      </c>
      <c r="AI46" s="23">
        <f t="shared" ref="AI46:AI72" ca="1" si="24">AG46*AB46</f>
        <v>41.756021269132596</v>
      </c>
    </row>
    <row r="47" spans="1:45" x14ac:dyDescent="0.2">
      <c r="A47" s="43">
        <v>70</v>
      </c>
      <c r="B47" s="43">
        <v>20</v>
      </c>
      <c r="C47" s="43">
        <f t="shared" ca="1" si="9"/>
        <v>42.313481241187759</v>
      </c>
      <c r="D47" s="43">
        <f t="shared" ca="1" si="10"/>
        <v>-2.3613584171109494</v>
      </c>
      <c r="E47" s="43">
        <f t="shared" ca="1" si="11"/>
        <v>-8.6673462699814934</v>
      </c>
      <c r="F47" s="43">
        <f t="shared" ca="1" si="12"/>
        <v>-41.483536697811182</v>
      </c>
      <c r="H47" s="23">
        <f ca="1"/>
        <v>33.211994090435191</v>
      </c>
      <c r="I47" s="23">
        <f ca="1"/>
        <v>1.3317595664395618</v>
      </c>
      <c r="J47" s="23">
        <f t="shared" ca="1" si="13"/>
        <v>-6.2872259884317518</v>
      </c>
      <c r="K47" s="23">
        <f t="shared" ca="1" si="14"/>
        <v>32.638641582889036</v>
      </c>
      <c r="W47" s="43">
        <v>65</v>
      </c>
      <c r="X47" s="43">
        <v>5</v>
      </c>
      <c r="Y47" s="43">
        <v>3.1415926535897931</v>
      </c>
      <c r="Z47" s="23">
        <f t="shared" ca="1" si="15"/>
        <v>37.313481241187759</v>
      </c>
      <c r="AA47" s="23">
        <f t="shared" ca="1" si="16"/>
        <v>-17.361358417110949</v>
      </c>
      <c r="AB47" s="23">
        <f t="shared" ca="1" si="17"/>
        <v>-22.750118261186842</v>
      </c>
      <c r="AC47" s="23">
        <f t="shared" ca="1" si="18"/>
        <v>-34.294967087400344</v>
      </c>
      <c r="AD47" s="23">
        <f t="shared" ca="1" si="19"/>
        <v>65.016244943237652</v>
      </c>
      <c r="AE47" s="23">
        <f t="shared" ca="1" si="20"/>
        <v>2.6411752983738146</v>
      </c>
      <c r="AF47" s="23">
        <f t="shared" ca="1" si="21"/>
        <v>4.1999998092651367</v>
      </c>
      <c r="AG47" s="23">
        <f t="shared" ca="1" si="22"/>
        <v>13.194688545865885</v>
      </c>
      <c r="AH47" s="23">
        <f t="shared" ca="1" si="23"/>
        <v>-452.51140940896886</v>
      </c>
      <c r="AI47" s="23">
        <f t="shared" ca="1" si="24"/>
        <v>-300.1807248379763</v>
      </c>
    </row>
    <row r="48" spans="1:45" x14ac:dyDescent="0.2">
      <c r="A48" s="43">
        <v>35</v>
      </c>
      <c r="B48" s="43">
        <v>20</v>
      </c>
      <c r="C48" s="43">
        <f t="shared" ca="1" si="9"/>
        <v>7.3134812411877625</v>
      </c>
      <c r="D48" s="43">
        <f t="shared" ca="1" si="10"/>
        <v>-2.3613584171109494</v>
      </c>
      <c r="E48" s="43">
        <f t="shared" ca="1" si="11"/>
        <v>-3.429290481962485</v>
      </c>
      <c r="F48" s="43">
        <f t="shared" ca="1" si="12"/>
        <v>-6.8777167889923705</v>
      </c>
      <c r="H48" s="23">
        <f ca="1"/>
        <v>36.414585214875331</v>
      </c>
      <c r="I48" s="23">
        <f ca="1"/>
        <v>22.490047331807432</v>
      </c>
      <c r="J48" s="23">
        <f t="shared" ca="1" si="13"/>
        <v>-27.686518758812234</v>
      </c>
      <c r="K48" s="23">
        <f t="shared" ca="1" si="14"/>
        <v>32.638641582889043</v>
      </c>
      <c r="W48" s="43">
        <v>65</v>
      </c>
      <c r="X48" s="43">
        <v>15</v>
      </c>
      <c r="Y48" s="43">
        <v>3.1415926535897931</v>
      </c>
      <c r="Z48" s="23">
        <f t="shared" ca="1" si="15"/>
        <v>37.313481241187759</v>
      </c>
      <c r="AA48" s="23">
        <f t="shared" ca="1" si="16"/>
        <v>-7.3613584171109494</v>
      </c>
      <c r="AB48" s="23">
        <f t="shared" ca="1" si="17"/>
        <v>-12.862741144381467</v>
      </c>
      <c r="AC48" s="23">
        <f t="shared" ca="1" si="18"/>
        <v>-35.79155445540578</v>
      </c>
      <c r="AD48" s="23">
        <f t="shared" ca="1" si="19"/>
        <v>66.512832311243088</v>
      </c>
      <c r="AE48" s="23">
        <f t="shared" ca="1" si="20"/>
        <v>2.7710276406556744</v>
      </c>
      <c r="AF48" s="23">
        <f t="shared" ca="1" si="21"/>
        <v>4.1999998092651367</v>
      </c>
      <c r="AG48" s="23">
        <f t="shared" ca="1" si="22"/>
        <v>13.194688545865885</v>
      </c>
      <c r="AH48" s="23">
        <f t="shared" ca="1" si="23"/>
        <v>-472.25841361147775</v>
      </c>
      <c r="AI48" s="23">
        <f t="shared" ca="1" si="24"/>
        <v>-169.71986324620798</v>
      </c>
    </row>
    <row r="49" spans="1:35" x14ac:dyDescent="0.2">
      <c r="A49" s="43">
        <v>35</v>
      </c>
      <c r="B49" s="43">
        <v>55</v>
      </c>
      <c r="C49" s="43">
        <f t="shared" ca="1" si="9"/>
        <v>7.3134812411877625</v>
      </c>
      <c r="D49" s="43">
        <f t="shared" ca="1" si="10"/>
        <v>32.638641582889051</v>
      </c>
      <c r="E49" s="43">
        <f t="shared" ca="1" si="11"/>
        <v>31.176529426856323</v>
      </c>
      <c r="F49" s="43">
        <f t="shared" ca="1" si="12"/>
        <v>-12.115772577011381</v>
      </c>
      <c r="H49" s="23">
        <f ca="1"/>
        <v>-17.965988927554225</v>
      </c>
      <c r="I49" s="23">
        <f ca="1"/>
        <v>30.721277855837307</v>
      </c>
      <c r="J49" s="23">
        <f t="shared" ca="1" si="13"/>
        <v>-27.686518758812237</v>
      </c>
      <c r="K49" s="23">
        <f t="shared" ca="1" si="14"/>
        <v>-22.361358417110949</v>
      </c>
      <c r="W49" s="43">
        <v>30</v>
      </c>
      <c r="X49" s="43">
        <v>15</v>
      </c>
      <c r="Y49" s="43">
        <v>3.1415926535897931</v>
      </c>
      <c r="Z49" s="23">
        <f t="shared" ca="1" si="15"/>
        <v>2.3134812411877625</v>
      </c>
      <c r="AA49" s="23">
        <f t="shared" ca="1" si="16"/>
        <v>-7.3613584171109494</v>
      </c>
      <c r="AB49" s="23">
        <f t="shared" ca="1" si="17"/>
        <v>-7.6246853563624573</v>
      </c>
      <c r="AC49" s="23">
        <f t="shared" ca="1" si="18"/>
        <v>-1.1857345465869675</v>
      </c>
      <c r="AD49" s="23">
        <f t="shared" ca="1" si="19"/>
        <v>31.907012402424275</v>
      </c>
      <c r="AE49" s="23">
        <f t="shared" ca="1" si="20"/>
        <v>-0.23156804323895583</v>
      </c>
      <c r="AF49" s="23">
        <f t="shared" ca="1" si="21"/>
        <v>-0.48629289080180721</v>
      </c>
      <c r="AG49" s="23">
        <f t="shared" ca="1" si="22"/>
        <v>-1.5277341732359011</v>
      </c>
      <c r="AH49" s="23">
        <f t="shared" ca="1" si="23"/>
        <v>1.8114871872072869</v>
      </c>
      <c r="AI49" s="23">
        <f t="shared" ca="1" si="24"/>
        <v>11.64849237908628</v>
      </c>
    </row>
    <row r="50" spans="1:35" x14ac:dyDescent="0.2">
      <c r="A50" s="43">
        <v>0</v>
      </c>
      <c r="B50" s="43">
        <v>55</v>
      </c>
      <c r="C50" s="43">
        <f t="shared" ca="1" si="9"/>
        <v>-27.686518758812237</v>
      </c>
      <c r="D50" s="43">
        <f t="shared" ca="1" si="10"/>
        <v>32.638641582889051</v>
      </c>
      <c r="E50" s="43">
        <f t="shared" ca="1" si="11"/>
        <v>36.414585214875331</v>
      </c>
      <c r="F50" s="43">
        <f t="shared" ca="1" si="12"/>
        <v>22.490047331807432</v>
      </c>
      <c r="H50" s="23">
        <f ca="1"/>
        <v>-17.965988927554225</v>
      </c>
      <c r="I50" s="23">
        <f ca="1"/>
        <v>30.721277855837307</v>
      </c>
      <c r="J50" s="23">
        <f t="shared" ca="1" si="13"/>
        <v>-27.686518758812237</v>
      </c>
      <c r="K50" s="23">
        <f t="shared" ca="1" si="14"/>
        <v>-22.361358417110949</v>
      </c>
      <c r="W50" s="43">
        <v>30</v>
      </c>
      <c r="X50" s="43">
        <v>50</v>
      </c>
      <c r="Y50" s="43">
        <v>3.1415926535897931</v>
      </c>
      <c r="Z50" s="23">
        <f t="shared" ca="1" si="15"/>
        <v>2.3134812411877625</v>
      </c>
      <c r="AA50" s="23">
        <f t="shared" ca="1" si="16"/>
        <v>27.638641582889051</v>
      </c>
      <c r="AB50" s="23">
        <f t="shared" ca="1" si="17"/>
        <v>26.981134552456357</v>
      </c>
      <c r="AC50" s="23">
        <f t="shared" ca="1" si="18"/>
        <v>-6.4237903346059779</v>
      </c>
      <c r="AD50" s="23">
        <f t="shared" ca="1" si="19"/>
        <v>37.145068190443283</v>
      </c>
      <c r="AE50" s="23">
        <f t="shared" ca="1" si="20"/>
        <v>0.22291515474755269</v>
      </c>
      <c r="AF50" s="23">
        <f t="shared" ca="1" si="21"/>
        <v>0.46812182496986066</v>
      </c>
      <c r="AG50" s="23">
        <f t="shared" ca="1" si="22"/>
        <v>1.4706480863103613</v>
      </c>
      <c r="AH50" s="23">
        <f t="shared" ca="1" si="23"/>
        <v>-9.4471349624472758</v>
      </c>
      <c r="AI50" s="23">
        <f t="shared" ca="1" si="24"/>
        <v>39.679753896052304</v>
      </c>
    </row>
    <row r="51" spans="1:35" x14ac:dyDescent="0.2">
      <c r="A51" s="44">
        <v>0</v>
      </c>
      <c r="B51" s="44">
        <v>0</v>
      </c>
      <c r="C51" s="44">
        <f t="shared" ca="1" si="9"/>
        <v>-27.686518758812237</v>
      </c>
      <c r="D51" s="44">
        <f t="shared" ca="1" si="10"/>
        <v>-22.361358417110949</v>
      </c>
      <c r="E51" s="44">
        <f t="shared" ca="1" si="11"/>
        <v>-17.965988927554225</v>
      </c>
      <c r="F51" s="44">
        <f t="shared" ca="1" si="12"/>
        <v>30.721277855837307</v>
      </c>
      <c r="H51" s="23" t="e">
        <f ca="1"/>
        <v>#N/A</v>
      </c>
      <c r="I51" s="23" t="e">
        <f ca="1"/>
        <v>#N/A</v>
      </c>
      <c r="J51" s="23" t="e">
        <f t="shared" ca="1" si="13"/>
        <v>#N/A</v>
      </c>
      <c r="K51" s="23" t="e">
        <f t="shared" ca="1" si="14"/>
        <v>#N/A</v>
      </c>
      <c r="W51" s="43">
        <v>5</v>
      </c>
      <c r="X51" s="43">
        <v>50</v>
      </c>
      <c r="Y51" s="43">
        <v>3.1415926535897931</v>
      </c>
      <c r="Z51" s="23">
        <f t="shared" ca="1" si="15"/>
        <v>-22.686518758812237</v>
      </c>
      <c r="AA51" s="23">
        <f t="shared" ca="1" si="16"/>
        <v>27.638641582889051</v>
      </c>
      <c r="AB51" s="23">
        <f t="shared" ca="1" si="17"/>
        <v>30.722602972469936</v>
      </c>
      <c r="AC51" s="23">
        <f t="shared" ca="1" si="18"/>
        <v>18.294652457407459</v>
      </c>
      <c r="AD51" s="23">
        <f t="shared" ca="1" si="19"/>
        <v>12.426625398429849</v>
      </c>
      <c r="AE51" s="23">
        <f t="shared" ca="1" si="20"/>
        <v>-1.9217960480343259</v>
      </c>
      <c r="AF51" s="23">
        <f t="shared" ca="1" si="21"/>
        <v>-3.8572717064451187</v>
      </c>
      <c r="AG51" s="23">
        <f t="shared" ca="1" si="22"/>
        <v>-12.117976455867749</v>
      </c>
      <c r="AH51" s="23">
        <f t="shared" ca="1" si="23"/>
        <v>-221.69416774714665</v>
      </c>
      <c r="AI51" s="23">
        <f t="shared" ca="1" si="24"/>
        <v>-372.29577948336322</v>
      </c>
    </row>
    <row r="52" spans="1:35" x14ac:dyDescent="0.2">
      <c r="H52" s="23" t="e">
        <f ca="1"/>
        <v>#N/A</v>
      </c>
      <c r="I52" s="23" t="e">
        <f ca="1"/>
        <v>#N/A</v>
      </c>
      <c r="J52" s="23" t="e">
        <f t="shared" ca="1" si="13"/>
        <v>#N/A</v>
      </c>
      <c r="K52" s="23" t="e">
        <f t="shared" ca="1" si="14"/>
        <v>#N/A</v>
      </c>
      <c r="W52" s="43">
        <v>5</v>
      </c>
      <c r="X52" s="43">
        <v>15</v>
      </c>
      <c r="Y52" s="43">
        <v>3.1415926535897931</v>
      </c>
      <c r="Z52" s="23">
        <f t="shared" ca="1" si="15"/>
        <v>-22.686518758812237</v>
      </c>
      <c r="AA52" s="23">
        <f t="shared" ca="1" si="16"/>
        <v>-7.3613584171109494</v>
      </c>
      <c r="AB52" s="23">
        <f t="shared" ca="1" si="17"/>
        <v>-3.883216936348878</v>
      </c>
      <c r="AC52" s="23">
        <f t="shared" ca="1" si="18"/>
        <v>23.53270824542647</v>
      </c>
      <c r="AD52" s="23">
        <f t="shared" ca="1" si="19"/>
        <v>7.1885696104108376</v>
      </c>
      <c r="AE52" s="23">
        <f t="shared" ca="1" si="20"/>
        <v>-2.3762792460208346</v>
      </c>
      <c r="AF52" s="23">
        <f t="shared" ca="1" si="21"/>
        <v>-4.0214998148381706</v>
      </c>
      <c r="AG52" s="23">
        <f t="shared" ca="1" si="22"/>
        <v>-12.63391427470831</v>
      </c>
      <c r="AH52" s="23">
        <f t="shared" ca="1" si="23"/>
        <v>-297.31021862443941</v>
      </c>
      <c r="AI52" s="23">
        <f t="shared" ca="1" si="24"/>
        <v>49.060229883927164</v>
      </c>
    </row>
    <row r="53" spans="1:35" x14ac:dyDescent="0.2">
      <c r="H53" s="27" t="e">
        <f ca="1"/>
        <v>#N/A</v>
      </c>
      <c r="I53" s="27" t="e">
        <f ca="1"/>
        <v>#N/A</v>
      </c>
      <c r="J53" s="27" t="e">
        <f t="shared" ca="1" si="13"/>
        <v>#N/A</v>
      </c>
      <c r="K53" s="27" t="e">
        <f t="shared" ca="1" si="14"/>
        <v>#N/A</v>
      </c>
      <c r="W53" s="43">
        <v>17.5</v>
      </c>
      <c r="X53" s="43">
        <v>5</v>
      </c>
      <c r="Y53" s="43">
        <v>3.1415926535897931</v>
      </c>
      <c r="Z53" s="23">
        <f t="shared" ca="1" si="15"/>
        <v>-10.186518758812237</v>
      </c>
      <c r="AA53" s="23">
        <f t="shared" ca="1" si="16"/>
        <v>-17.361358417110949</v>
      </c>
      <c r="AB53" s="23">
        <f t="shared" ca="1" si="17"/>
        <v>-15.641328263161043</v>
      </c>
      <c r="AC53" s="23">
        <f t="shared" ca="1" si="18"/>
        <v>12.670074217425181</v>
      </c>
      <c r="AD53" s="23">
        <f t="shared" ca="1" si="19"/>
        <v>18.051203638412126</v>
      </c>
      <c r="AE53" s="23">
        <f t="shared" ca="1" si="20"/>
        <v>-1.4337759869117548</v>
      </c>
      <c r="AF53" s="23">
        <f t="shared" ca="1" si="21"/>
        <v>-2.8324295780877193</v>
      </c>
      <c r="AG53" s="23">
        <f t="shared" ca="1" si="22"/>
        <v>-8.898339954330817</v>
      </c>
      <c r="AH53" s="23">
        <f t="shared" ca="1" si="23"/>
        <v>-112.74262763325125</v>
      </c>
      <c r="AI53" s="23">
        <f t="shared" ca="1" si="24"/>
        <v>139.18185622288976</v>
      </c>
    </row>
    <row r="54" spans="1:35" x14ac:dyDescent="0.2">
      <c r="W54" s="43">
        <v>41.666666666666664</v>
      </c>
      <c r="X54" s="43">
        <v>5</v>
      </c>
      <c r="Y54" s="43">
        <v>3.1415926535897931</v>
      </c>
      <c r="Z54" s="23">
        <f t="shared" ca="1" si="15"/>
        <v>13.980147907854427</v>
      </c>
      <c r="AA54" s="23">
        <f t="shared" ca="1" si="16"/>
        <v>-17.361358417110949</v>
      </c>
      <c r="AB54" s="23">
        <f t="shared" ca="1" si="17"/>
        <v>-19.258081069174168</v>
      </c>
      <c r="AC54" s="23">
        <f t="shared" ca="1" si="18"/>
        <v>-11.224420481521138</v>
      </c>
      <c r="AD54" s="23">
        <f t="shared" ca="1" si="19"/>
        <v>41.945698337358444</v>
      </c>
      <c r="AE54" s="23">
        <f t="shared" ca="1" si="20"/>
        <v>0.63944484244406097</v>
      </c>
      <c r="AF54" s="23">
        <f t="shared" ca="1" si="21"/>
        <v>1.3428341691325281</v>
      </c>
      <c r="AG54" s="23">
        <f t="shared" ca="1" si="22"/>
        <v>4.2186379607361042</v>
      </c>
      <c r="AH54" s="23">
        <f t="shared" ca="1" si="23"/>
        <v>-47.351766330608896</v>
      </c>
      <c r="AI54" s="23">
        <f t="shared" ca="1" si="24"/>
        <v>-81.242871849351488</v>
      </c>
    </row>
    <row r="55" spans="1:35" x14ac:dyDescent="0.2">
      <c r="W55" s="43">
        <v>53.333333333333329</v>
      </c>
      <c r="X55" s="43">
        <v>5</v>
      </c>
      <c r="Y55" s="43">
        <v>3.1415926535897931</v>
      </c>
      <c r="Z55" s="23">
        <f t="shared" ca="1" si="15"/>
        <v>25.646814574521091</v>
      </c>
      <c r="AA55" s="23">
        <f t="shared" ca="1" si="16"/>
        <v>-17.361358417110949</v>
      </c>
      <c r="AB55" s="23">
        <f t="shared" ca="1" si="17"/>
        <v>-21.004099665180505</v>
      </c>
      <c r="AC55" s="23">
        <f t="shared" ca="1" si="18"/>
        <v>-22.75969378446074</v>
      </c>
      <c r="AD55" s="23">
        <f t="shared" ca="1" si="19"/>
        <v>53.480971640298051</v>
      </c>
      <c r="AE55" s="23">
        <f t="shared" ca="1" si="20"/>
        <v>1.6403100704089379</v>
      </c>
      <c r="AF55" s="23">
        <f t="shared" ca="1" si="21"/>
        <v>3.4446511478587696</v>
      </c>
      <c r="AG55" s="23">
        <f t="shared" ca="1" si="22"/>
        <v>10.821690740292759</v>
      </c>
      <c r="AH55" s="23">
        <f t="shared" ca="1" si="23"/>
        <v>-246.29836747919745</v>
      </c>
      <c r="AI55" s="23">
        <f t="shared" ca="1" si="24"/>
        <v>-227.29987085487011</v>
      </c>
    </row>
    <row r="56" spans="1:35" x14ac:dyDescent="0.2">
      <c r="W56" s="43">
        <v>41.666666666666664</v>
      </c>
      <c r="X56" s="43">
        <v>15</v>
      </c>
      <c r="Y56" s="43">
        <v>3.1415926535897931</v>
      </c>
      <c r="Z56" s="23">
        <f t="shared" ca="1" si="15"/>
        <v>13.980147907854427</v>
      </c>
      <c r="AA56" s="23">
        <f t="shared" ca="1" si="16"/>
        <v>-7.3613584171109494</v>
      </c>
      <c r="AB56" s="23">
        <f t="shared" ca="1" si="17"/>
        <v>-9.3707039523687925</v>
      </c>
      <c r="AC56" s="23">
        <f t="shared" ca="1" si="18"/>
        <v>-12.721007849526568</v>
      </c>
      <c r="AD56" s="23">
        <f t="shared" ca="1" si="19"/>
        <v>43.442285705363872</v>
      </c>
      <c r="AE56" s="23">
        <f t="shared" ca="1" si="20"/>
        <v>0.76929718472592035</v>
      </c>
      <c r="AF56" s="23">
        <f t="shared" ca="1" si="21"/>
        <v>1.6155240879244328</v>
      </c>
      <c r="AG56" s="23">
        <f t="shared" ca="1" si="22"/>
        <v>5.0753186063207494</v>
      </c>
      <c r="AH56" s="23">
        <f t="shared" ca="1" si="23"/>
        <v>-64.563167829854493</v>
      </c>
      <c r="AI56" s="23">
        <f t="shared" ca="1" si="24"/>
        <v>-47.559308123780717</v>
      </c>
    </row>
    <row r="57" spans="1:35" x14ac:dyDescent="0.2">
      <c r="W57" s="43">
        <v>53.333333333333329</v>
      </c>
      <c r="X57" s="43">
        <v>15</v>
      </c>
      <c r="Y57" s="43">
        <v>3.1415926535897931</v>
      </c>
      <c r="Z57" s="23">
        <f t="shared" ca="1" si="15"/>
        <v>25.646814574521091</v>
      </c>
      <c r="AA57" s="23">
        <f t="shared" ca="1" si="16"/>
        <v>-7.3613584171109494</v>
      </c>
      <c r="AB57" s="23">
        <f t="shared" ca="1" si="17"/>
        <v>-11.11672254837513</v>
      </c>
      <c r="AC57" s="23">
        <f t="shared" ca="1" si="18"/>
        <v>-24.256281152466173</v>
      </c>
      <c r="AD57" s="23">
        <f t="shared" ca="1" si="19"/>
        <v>54.97755900830348</v>
      </c>
      <c r="AE57" s="23">
        <f t="shared" ca="1" si="20"/>
        <v>1.7701624126907975</v>
      </c>
      <c r="AF57" s="23">
        <f t="shared" ca="1" si="21"/>
        <v>3.7173410666506745</v>
      </c>
      <c r="AG57" s="23">
        <f t="shared" ca="1" si="22"/>
        <v>11.678371385877405</v>
      </c>
      <c r="AH57" s="23">
        <f t="shared" ca="1" si="23"/>
        <v>-283.27385973875835</v>
      </c>
      <c r="AI57" s="23">
        <f t="shared" ca="1" si="24"/>
        <v>-129.82521451368225</v>
      </c>
    </row>
    <row r="58" spans="1:35" x14ac:dyDescent="0.2">
      <c r="W58" s="43">
        <v>30</v>
      </c>
      <c r="X58" s="43">
        <v>26.666666666666664</v>
      </c>
      <c r="Y58" s="43">
        <v>3.1415926535897931</v>
      </c>
      <c r="Z58" s="23">
        <f t="shared" ca="1" si="15"/>
        <v>2.3134812411877625</v>
      </c>
      <c r="AA58" s="23">
        <f t="shared" ca="1" si="16"/>
        <v>4.3053082495557149</v>
      </c>
      <c r="AB58" s="23">
        <f t="shared" ca="1" si="17"/>
        <v>3.9105879465771447</v>
      </c>
      <c r="AC58" s="23">
        <f t="shared" ca="1" si="18"/>
        <v>-2.9317531425933039</v>
      </c>
      <c r="AD58" s="23">
        <f t="shared" ca="1" si="19"/>
        <v>33.653030998430609</v>
      </c>
      <c r="AE58" s="23">
        <f t="shared" ca="1" si="20"/>
        <v>-8.0073643910119854E-2</v>
      </c>
      <c r="AF58" s="23">
        <f t="shared" ca="1" si="21"/>
        <v>-0.1681546522112517</v>
      </c>
      <c r="AG58" s="23">
        <f t="shared" ca="1" si="22"/>
        <v>-0.52827342005381495</v>
      </c>
      <c r="AH58" s="23">
        <f t="shared" ca="1" si="23"/>
        <v>1.5487672593912845</v>
      </c>
      <c r="AI58" s="23">
        <f t="shared" ca="1" si="24"/>
        <v>-2.0658596689595337</v>
      </c>
    </row>
    <row r="59" spans="1:35" x14ac:dyDescent="0.2">
      <c r="W59" s="43">
        <v>30</v>
      </c>
      <c r="X59" s="43">
        <v>38.333333333333329</v>
      </c>
      <c r="Y59" s="43">
        <v>3.1415926535897931</v>
      </c>
      <c r="Z59" s="23">
        <f t="shared" ca="1" si="15"/>
        <v>2.3134812411877625</v>
      </c>
      <c r="AA59" s="23">
        <f t="shared" ca="1" si="16"/>
        <v>15.971974916222379</v>
      </c>
      <c r="AB59" s="23">
        <f t="shared" ca="1" si="17"/>
        <v>15.445861249516746</v>
      </c>
      <c r="AC59" s="23">
        <f t="shared" ca="1" si="18"/>
        <v>-4.67777173859964</v>
      </c>
      <c r="AD59" s="23">
        <f t="shared" ca="1" si="19"/>
        <v>35.399049594436946</v>
      </c>
      <c r="AE59" s="23">
        <f t="shared" ca="1" si="20"/>
        <v>7.1420755418716425E-2</v>
      </c>
      <c r="AF59" s="23">
        <f t="shared" ca="1" si="21"/>
        <v>0.14998358637930448</v>
      </c>
      <c r="AG59" s="23">
        <f t="shared" ca="1" si="22"/>
        <v>0.4711873331282731</v>
      </c>
      <c r="AH59" s="23">
        <f t="shared" ca="1" si="23"/>
        <v>-2.2041067904935696</v>
      </c>
      <c r="AI59" s="23">
        <f t="shared" ca="1" si="24"/>
        <v>7.2778941700291311</v>
      </c>
    </row>
    <row r="60" spans="1:35" x14ac:dyDescent="0.2">
      <c r="W60" s="43">
        <v>17.5</v>
      </c>
      <c r="X60" s="43">
        <v>50</v>
      </c>
      <c r="Y60" s="43">
        <v>3.1415926535897931</v>
      </c>
      <c r="Z60" s="23">
        <f t="shared" ca="1" si="15"/>
        <v>-10.186518758812237</v>
      </c>
      <c r="AA60" s="23">
        <f t="shared" ca="1" si="16"/>
        <v>27.638641582889051</v>
      </c>
      <c r="AB60" s="23">
        <f t="shared" ca="1" si="17"/>
        <v>28.851868762463145</v>
      </c>
      <c r="AC60" s="23">
        <f t="shared" ca="1" si="18"/>
        <v>5.9354310614007399</v>
      </c>
      <c r="AD60" s="23">
        <f t="shared" ca="1" si="19"/>
        <v>24.785846794436566</v>
      </c>
      <c r="AE60" s="23">
        <f t="shared" ca="1" si="20"/>
        <v>-0.84944044664338658</v>
      </c>
      <c r="AF60" s="23">
        <f t="shared" ca="1" si="21"/>
        <v>-1.6053249435241463</v>
      </c>
      <c r="AG60" s="23">
        <f t="shared" ca="1" si="22"/>
        <v>-5.0432770491999079</v>
      </c>
      <c r="AH60" s="23">
        <f t="shared" ca="1" si="23"/>
        <v>-29.934023249070602</v>
      </c>
      <c r="AI60" s="23">
        <f t="shared" ca="1" si="24"/>
        <v>-145.50796755625814</v>
      </c>
    </row>
    <row r="61" spans="1:35" x14ac:dyDescent="0.2">
      <c r="W61" s="43">
        <v>5</v>
      </c>
      <c r="X61" s="43">
        <v>26.666666666666664</v>
      </c>
      <c r="Y61" s="43">
        <v>3.1415926535897931</v>
      </c>
      <c r="Z61" s="23">
        <f t="shared" ca="1" si="15"/>
        <v>-22.686518758812237</v>
      </c>
      <c r="AA61" s="23">
        <f t="shared" ca="1" si="16"/>
        <v>4.3053082495557149</v>
      </c>
      <c r="AB61" s="23">
        <f t="shared" ca="1" si="17"/>
        <v>7.652056366590724</v>
      </c>
      <c r="AC61" s="23">
        <f t="shared" ca="1" si="18"/>
        <v>21.786689649420133</v>
      </c>
      <c r="AD61" s="23">
        <f t="shared" ca="1" si="19"/>
        <v>8.9345882064171747</v>
      </c>
      <c r="AE61" s="23">
        <f t="shared" ca="1" si="20"/>
        <v>-2.2247848466919984</v>
      </c>
      <c r="AF61" s="23">
        <f t="shared" ca="1" si="21"/>
        <v>-4.0214998148381706</v>
      </c>
      <c r="AG61" s="23">
        <f t="shared" ca="1" si="22"/>
        <v>-12.63391427470831</v>
      </c>
      <c r="AH61" s="23">
        <f t="shared" ca="1" si="23"/>
        <v>-275.25116936044878</v>
      </c>
      <c r="AI61" s="23">
        <f t="shared" ca="1" si="24"/>
        <v>-96.675424160743148</v>
      </c>
    </row>
    <row r="62" spans="1:35" x14ac:dyDescent="0.2">
      <c r="W62" s="43">
        <v>5</v>
      </c>
      <c r="X62" s="43">
        <v>38.333333333333329</v>
      </c>
      <c r="Y62" s="43">
        <v>3.1415926535897931</v>
      </c>
      <c r="Z62" s="23">
        <f t="shared" ca="1" si="15"/>
        <v>-22.686518758812237</v>
      </c>
      <c r="AA62" s="23">
        <f t="shared" ca="1" si="16"/>
        <v>15.971974916222379</v>
      </c>
      <c r="AB62" s="23">
        <f t="shared" ca="1" si="17"/>
        <v>19.187329669530325</v>
      </c>
      <c r="AC62" s="23">
        <f t="shared" ca="1" si="18"/>
        <v>20.040671053413799</v>
      </c>
      <c r="AD62" s="23">
        <f t="shared" ca="1" si="19"/>
        <v>10.680606802423508</v>
      </c>
      <c r="AE62" s="23">
        <f t="shared" ca="1" si="20"/>
        <v>-2.0732904473631626</v>
      </c>
      <c r="AF62" s="23">
        <f t="shared" ca="1" si="21"/>
        <v>-4.0214998148381706</v>
      </c>
      <c r="AG62" s="23">
        <f t="shared" ca="1" si="22"/>
        <v>-12.63391427470831</v>
      </c>
      <c r="AH62" s="23">
        <f t="shared" ca="1" si="23"/>
        <v>-253.19212009645824</v>
      </c>
      <c r="AI62" s="23">
        <f t="shared" ca="1" si="24"/>
        <v>-242.41107820541345</v>
      </c>
    </row>
    <row r="63" spans="1:35" x14ac:dyDescent="0.2">
      <c r="W63" s="43" t="e">
        <v>#N/A</v>
      </c>
      <c r="X63" s="43" t="e">
        <v>#N/A</v>
      </c>
      <c r="Y63" s="43" t="e">
        <v>#N/A</v>
      </c>
      <c r="Z63" s="23" t="e">
        <f t="shared" ca="1" si="15"/>
        <v>#N/A</v>
      </c>
      <c r="AA63" s="23" t="e">
        <f t="shared" ca="1" si="16"/>
        <v>#N/A</v>
      </c>
      <c r="AB63" s="23" t="e">
        <f t="shared" ca="1" si="17"/>
        <v>#N/A</v>
      </c>
      <c r="AC63" s="23" t="e">
        <f t="shared" ca="1" si="18"/>
        <v>#N/A</v>
      </c>
      <c r="AD63" s="23" t="e">
        <f t="shared" ca="1" si="19"/>
        <v>#N/A</v>
      </c>
      <c r="AE63" s="23" t="e">
        <f t="shared" ca="1" si="20"/>
        <v>#N/A</v>
      </c>
      <c r="AF63" s="23" t="e">
        <f t="shared" ca="1" si="21"/>
        <v>#N/A</v>
      </c>
      <c r="AG63" s="23" t="e">
        <f t="shared" ca="1" si="22"/>
        <v>#N/A</v>
      </c>
      <c r="AH63" s="23" t="e">
        <f t="shared" ca="1" si="23"/>
        <v>#N/A</v>
      </c>
      <c r="AI63" s="23" t="e">
        <f t="shared" ca="1" si="24"/>
        <v>#N/A</v>
      </c>
    </row>
    <row r="64" spans="1:35" x14ac:dyDescent="0.2">
      <c r="W64" s="43" t="e">
        <v>#N/A</v>
      </c>
      <c r="X64" s="43" t="e">
        <v>#N/A</v>
      </c>
      <c r="Y64" s="43" t="e">
        <v>#N/A</v>
      </c>
      <c r="Z64" s="23" t="e">
        <f t="shared" ca="1" si="15"/>
        <v>#N/A</v>
      </c>
      <c r="AA64" s="23" t="e">
        <f t="shared" ca="1" si="16"/>
        <v>#N/A</v>
      </c>
      <c r="AB64" s="23" t="e">
        <f t="shared" ca="1" si="17"/>
        <v>#N/A</v>
      </c>
      <c r="AC64" s="23" t="e">
        <f t="shared" ca="1" si="18"/>
        <v>#N/A</v>
      </c>
      <c r="AD64" s="23" t="e">
        <f t="shared" ca="1" si="19"/>
        <v>#N/A</v>
      </c>
      <c r="AE64" s="23" t="e">
        <f t="shared" ca="1" si="20"/>
        <v>#N/A</v>
      </c>
      <c r="AF64" s="23" t="e">
        <f t="shared" ca="1" si="21"/>
        <v>#N/A</v>
      </c>
      <c r="AG64" s="23" t="e">
        <f t="shared" ca="1" si="22"/>
        <v>#N/A</v>
      </c>
      <c r="AH64" s="23" t="e">
        <f t="shared" ca="1" si="23"/>
        <v>#N/A</v>
      </c>
      <c r="AI64" s="23" t="e">
        <f t="shared" ca="1" si="24"/>
        <v>#N/A</v>
      </c>
    </row>
    <row r="65" spans="23:35" x14ac:dyDescent="0.2">
      <c r="W65" s="43" t="e">
        <v>#N/A</v>
      </c>
      <c r="X65" s="43" t="e">
        <v>#N/A</v>
      </c>
      <c r="Y65" s="43" t="e">
        <v>#N/A</v>
      </c>
      <c r="Z65" s="23" t="e">
        <f t="shared" ca="1" si="15"/>
        <v>#N/A</v>
      </c>
      <c r="AA65" s="23" t="e">
        <f t="shared" ca="1" si="16"/>
        <v>#N/A</v>
      </c>
      <c r="AB65" s="23" t="e">
        <f t="shared" ca="1" si="17"/>
        <v>#N/A</v>
      </c>
      <c r="AC65" s="23" t="e">
        <f t="shared" ca="1" si="18"/>
        <v>#N/A</v>
      </c>
      <c r="AD65" s="23" t="e">
        <f t="shared" ca="1" si="19"/>
        <v>#N/A</v>
      </c>
      <c r="AE65" s="23" t="e">
        <f t="shared" ca="1" si="20"/>
        <v>#N/A</v>
      </c>
      <c r="AF65" s="23" t="e">
        <f t="shared" ca="1" si="21"/>
        <v>#N/A</v>
      </c>
      <c r="AG65" s="23" t="e">
        <f t="shared" ca="1" si="22"/>
        <v>#N/A</v>
      </c>
      <c r="AH65" s="23" t="e">
        <f t="shared" ca="1" si="23"/>
        <v>#N/A</v>
      </c>
      <c r="AI65" s="23" t="e">
        <f t="shared" ca="1" si="24"/>
        <v>#N/A</v>
      </c>
    </row>
    <row r="66" spans="23:35" x14ac:dyDescent="0.2">
      <c r="W66" s="43" t="e">
        <v>#N/A</v>
      </c>
      <c r="X66" s="43" t="e">
        <v>#N/A</v>
      </c>
      <c r="Y66" s="43" t="e">
        <v>#N/A</v>
      </c>
      <c r="Z66" s="23" t="e">
        <f t="shared" ca="1" si="15"/>
        <v>#N/A</v>
      </c>
      <c r="AA66" s="23" t="e">
        <f t="shared" ca="1" si="16"/>
        <v>#N/A</v>
      </c>
      <c r="AB66" s="23" t="e">
        <f t="shared" ca="1" si="17"/>
        <v>#N/A</v>
      </c>
      <c r="AC66" s="23" t="e">
        <f t="shared" ca="1" si="18"/>
        <v>#N/A</v>
      </c>
      <c r="AD66" s="23" t="e">
        <f t="shared" ca="1" si="19"/>
        <v>#N/A</v>
      </c>
      <c r="AE66" s="23" t="e">
        <f t="shared" ca="1" si="20"/>
        <v>#N/A</v>
      </c>
      <c r="AF66" s="23" t="e">
        <f t="shared" ca="1" si="21"/>
        <v>#N/A</v>
      </c>
      <c r="AG66" s="23" t="e">
        <f t="shared" ca="1" si="22"/>
        <v>#N/A</v>
      </c>
      <c r="AH66" s="23" t="e">
        <f t="shared" ca="1" si="23"/>
        <v>#N/A</v>
      </c>
      <c r="AI66" s="23" t="e">
        <f t="shared" ca="1" si="24"/>
        <v>#N/A</v>
      </c>
    </row>
    <row r="67" spans="23:35" x14ac:dyDescent="0.2">
      <c r="W67" s="43" t="e">
        <v>#N/A</v>
      </c>
      <c r="X67" s="43" t="e">
        <v>#N/A</v>
      </c>
      <c r="Y67" s="43" t="e">
        <v>#N/A</v>
      </c>
      <c r="Z67" s="23" t="e">
        <f t="shared" ca="1" si="15"/>
        <v>#N/A</v>
      </c>
      <c r="AA67" s="23" t="e">
        <f t="shared" ca="1" si="16"/>
        <v>#N/A</v>
      </c>
      <c r="AB67" s="23" t="e">
        <f t="shared" ca="1" si="17"/>
        <v>#N/A</v>
      </c>
      <c r="AC67" s="23" t="e">
        <f t="shared" ca="1" si="18"/>
        <v>#N/A</v>
      </c>
      <c r="AD67" s="23" t="e">
        <f t="shared" ca="1" si="19"/>
        <v>#N/A</v>
      </c>
      <c r="AE67" s="23" t="e">
        <f t="shared" ca="1" si="20"/>
        <v>#N/A</v>
      </c>
      <c r="AF67" s="23" t="e">
        <f t="shared" ca="1" si="21"/>
        <v>#N/A</v>
      </c>
      <c r="AG67" s="23" t="e">
        <f t="shared" ca="1" si="22"/>
        <v>#N/A</v>
      </c>
      <c r="AH67" s="23" t="e">
        <f t="shared" ca="1" si="23"/>
        <v>#N/A</v>
      </c>
      <c r="AI67" s="23" t="e">
        <f t="shared" ca="1" si="24"/>
        <v>#N/A</v>
      </c>
    </row>
    <row r="68" spans="23:35" x14ac:dyDescent="0.2">
      <c r="W68" s="43" t="e">
        <v>#N/A</v>
      </c>
      <c r="X68" s="43" t="e">
        <v>#N/A</v>
      </c>
      <c r="Y68" s="43" t="e">
        <v>#N/A</v>
      </c>
      <c r="Z68" s="23" t="e">
        <f t="shared" ca="1" si="15"/>
        <v>#N/A</v>
      </c>
      <c r="AA68" s="23" t="e">
        <f t="shared" ca="1" si="16"/>
        <v>#N/A</v>
      </c>
      <c r="AB68" s="23" t="e">
        <f t="shared" ca="1" si="17"/>
        <v>#N/A</v>
      </c>
      <c r="AC68" s="23" t="e">
        <f t="shared" ca="1" si="18"/>
        <v>#N/A</v>
      </c>
      <c r="AD68" s="23" t="e">
        <f t="shared" ca="1" si="19"/>
        <v>#N/A</v>
      </c>
      <c r="AE68" s="23" t="e">
        <f t="shared" ca="1" si="20"/>
        <v>#N/A</v>
      </c>
      <c r="AF68" s="23" t="e">
        <f t="shared" ca="1" si="21"/>
        <v>#N/A</v>
      </c>
      <c r="AG68" s="23" t="e">
        <f t="shared" ca="1" si="22"/>
        <v>#N/A</v>
      </c>
      <c r="AH68" s="23" t="e">
        <f t="shared" ca="1" si="23"/>
        <v>#N/A</v>
      </c>
      <c r="AI68" s="23" t="e">
        <f t="shared" ca="1" si="24"/>
        <v>#N/A</v>
      </c>
    </row>
    <row r="69" spans="23:35" x14ac:dyDescent="0.2">
      <c r="W69" s="43" t="e">
        <v>#N/A</v>
      </c>
      <c r="X69" s="43" t="e">
        <v>#N/A</v>
      </c>
      <c r="Y69" s="43" t="e">
        <v>#N/A</v>
      </c>
      <c r="Z69" s="23" t="e">
        <f t="shared" ca="1" si="15"/>
        <v>#N/A</v>
      </c>
      <c r="AA69" s="23" t="e">
        <f t="shared" ca="1" si="16"/>
        <v>#N/A</v>
      </c>
      <c r="AB69" s="23" t="e">
        <f t="shared" ca="1" si="17"/>
        <v>#N/A</v>
      </c>
      <c r="AC69" s="23" t="e">
        <f t="shared" ca="1" si="18"/>
        <v>#N/A</v>
      </c>
      <c r="AD69" s="23" t="e">
        <f t="shared" ca="1" si="19"/>
        <v>#N/A</v>
      </c>
      <c r="AE69" s="23" t="e">
        <f t="shared" ca="1" si="20"/>
        <v>#N/A</v>
      </c>
      <c r="AF69" s="23" t="e">
        <f t="shared" ca="1" si="21"/>
        <v>#N/A</v>
      </c>
      <c r="AG69" s="23" t="e">
        <f t="shared" ca="1" si="22"/>
        <v>#N/A</v>
      </c>
      <c r="AH69" s="23" t="e">
        <f t="shared" ca="1" si="23"/>
        <v>#N/A</v>
      </c>
      <c r="AI69" s="23" t="e">
        <f t="shared" ca="1" si="24"/>
        <v>#N/A</v>
      </c>
    </row>
    <row r="70" spans="23:35" x14ac:dyDescent="0.2">
      <c r="W70" s="43" t="e">
        <v>#N/A</v>
      </c>
      <c r="X70" s="43" t="e">
        <v>#N/A</v>
      </c>
      <c r="Y70" s="43" t="e">
        <v>#N/A</v>
      </c>
      <c r="Z70" s="23" t="e">
        <f t="shared" ca="1" si="15"/>
        <v>#N/A</v>
      </c>
      <c r="AA70" s="23" t="e">
        <f t="shared" ca="1" si="16"/>
        <v>#N/A</v>
      </c>
      <c r="AB70" s="23" t="e">
        <f t="shared" ca="1" si="17"/>
        <v>#N/A</v>
      </c>
      <c r="AC70" s="23" t="e">
        <f t="shared" ca="1" si="18"/>
        <v>#N/A</v>
      </c>
      <c r="AD70" s="23" t="e">
        <f t="shared" ca="1" si="19"/>
        <v>#N/A</v>
      </c>
      <c r="AE70" s="23" t="e">
        <f t="shared" ca="1" si="20"/>
        <v>#N/A</v>
      </c>
      <c r="AF70" s="23" t="e">
        <f t="shared" ca="1" si="21"/>
        <v>#N/A</v>
      </c>
      <c r="AG70" s="23" t="e">
        <f t="shared" ca="1" si="22"/>
        <v>#N/A</v>
      </c>
      <c r="AH70" s="23" t="e">
        <f t="shared" ca="1" si="23"/>
        <v>#N/A</v>
      </c>
      <c r="AI70" s="23" t="e">
        <f t="shared" ca="1" si="24"/>
        <v>#N/A</v>
      </c>
    </row>
    <row r="71" spans="23:35" x14ac:dyDescent="0.2">
      <c r="W71" s="43" t="e">
        <v>#N/A</v>
      </c>
      <c r="X71" s="43" t="e">
        <v>#N/A</v>
      </c>
      <c r="Y71" s="43" t="e">
        <v>#N/A</v>
      </c>
      <c r="Z71" s="23" t="e">
        <f t="shared" ca="1" si="15"/>
        <v>#N/A</v>
      </c>
      <c r="AA71" s="23" t="e">
        <f t="shared" ca="1" si="16"/>
        <v>#N/A</v>
      </c>
      <c r="AB71" s="23" t="e">
        <f t="shared" ca="1" si="17"/>
        <v>#N/A</v>
      </c>
      <c r="AC71" s="23" t="e">
        <f t="shared" ca="1" si="18"/>
        <v>#N/A</v>
      </c>
      <c r="AD71" s="23" t="e">
        <f t="shared" ca="1" si="19"/>
        <v>#N/A</v>
      </c>
      <c r="AE71" s="23" t="e">
        <f t="shared" ca="1" si="20"/>
        <v>#N/A</v>
      </c>
      <c r="AF71" s="23" t="e">
        <f t="shared" ca="1" si="21"/>
        <v>#N/A</v>
      </c>
      <c r="AG71" s="23" t="e">
        <f t="shared" ca="1" si="22"/>
        <v>#N/A</v>
      </c>
      <c r="AH71" s="23" t="e">
        <f t="shared" ca="1" si="23"/>
        <v>#N/A</v>
      </c>
      <c r="AI71" s="23" t="e">
        <f t="shared" ca="1" si="24"/>
        <v>#N/A</v>
      </c>
    </row>
    <row r="72" spans="23:35" x14ac:dyDescent="0.2">
      <c r="W72" s="44" t="e">
        <v>#N/A</v>
      </c>
      <c r="X72" s="44" t="e">
        <v>#N/A</v>
      </c>
      <c r="Y72" s="44" t="e">
        <v>#N/A</v>
      </c>
      <c r="Z72" s="27" t="e">
        <f t="shared" ca="1" si="15"/>
        <v>#N/A</v>
      </c>
      <c r="AA72" s="27" t="e">
        <f t="shared" ca="1" si="16"/>
        <v>#N/A</v>
      </c>
      <c r="AB72" s="27" t="e">
        <f t="shared" ca="1" si="17"/>
        <v>#N/A</v>
      </c>
      <c r="AC72" s="27" t="e">
        <f t="shared" ca="1" si="18"/>
        <v>#N/A</v>
      </c>
      <c r="AD72" s="27" t="e">
        <f t="shared" ca="1" si="19"/>
        <v>#N/A</v>
      </c>
      <c r="AE72" s="27" t="e">
        <f t="shared" ca="1" si="20"/>
        <v>#N/A</v>
      </c>
      <c r="AF72" s="27" t="e">
        <f t="shared" ca="1" si="21"/>
        <v>#N/A</v>
      </c>
      <c r="AG72" s="27" t="e">
        <f t="shared" ca="1" si="22"/>
        <v>#N/A</v>
      </c>
      <c r="AH72" s="27" t="e">
        <f t="shared" ca="1" si="23"/>
        <v>#N/A</v>
      </c>
      <c r="AI72" s="27" t="e">
        <f t="shared" ca="1" si="24"/>
        <v>#N/A</v>
      </c>
    </row>
  </sheetData>
  <conditionalFormatting sqref="H45:I53">
    <cfRule type="containsErrors" dxfId="6" priority="3">
      <formula>ISERROR(H45)</formula>
    </cfRule>
  </conditionalFormatting>
  <conditionalFormatting sqref="J45:K53">
    <cfRule type="containsErrors" dxfId="5" priority="2">
      <formula>ISERROR(J45)</formula>
    </cfRule>
  </conditionalFormatting>
  <conditionalFormatting sqref="W45:AI72">
    <cfRule type="containsErrors" dxfId="4" priority="1">
      <formula>ISERROR(W45)</formula>
    </cfRule>
  </conditionalFormatting>
  <printOptions horizontalCentered="1" verticalCentered="1"/>
  <pageMargins left="0.59055118110236227" right="0.59055118110236227" top="0.59055118110236227" bottom="0.59055118110236227" header="0.39370078740157483" footer="0.39370078740157483"/>
  <pageSetup orientation="landscape" r:id="rId1"/>
  <ignoredErrors>
    <ignoredError sqref="J45:K53 Z45:AI72" evalError="1"/>
  </ignoredErrors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Fill="0" autoLine="0" r:id="rId5">
            <anchor moveWithCells="1">
              <from>
                <xdr:col>8</xdr:col>
                <xdr:colOff>95250</xdr:colOff>
                <xdr:row>17</xdr:row>
                <xdr:rowOff>19050</xdr:rowOff>
              </from>
              <to>
                <xdr:col>10</xdr:col>
                <xdr:colOff>295275</xdr:colOff>
                <xdr:row>18</xdr:row>
                <xdr:rowOff>133350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13</xdr:col>
                <xdr:colOff>123825</xdr:colOff>
                <xdr:row>12</xdr:row>
                <xdr:rowOff>9525</xdr:rowOff>
              </from>
              <to>
                <xdr:col>15</xdr:col>
                <xdr:colOff>323850</xdr:colOff>
                <xdr:row>13</xdr:row>
                <xdr:rowOff>142875</xdr:rowOff>
              </to>
            </anchor>
          </controlPr>
        </control>
      </mc:Choice>
      <mc:Fallback>
        <control shapeId="122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9607-EB9C-4B74-AC85-E40574530469}">
  <sheetPr codeName="Sheet11"/>
  <dimension ref="A1:AS72"/>
  <sheetViews>
    <sheetView zoomScale="85" zoomScaleNormal="85" workbookViewId="0">
      <selection activeCell="B15" sqref="B15"/>
    </sheetView>
  </sheetViews>
  <sheetFormatPr defaultColWidth="5.7109375" defaultRowHeight="12.75" x14ac:dyDescent="0.2"/>
  <cols>
    <col min="1" max="19" width="6.5703125" style="2" customWidth="1"/>
    <col min="20" max="20" width="9.42578125" style="2" bestFit="1" customWidth="1"/>
    <col min="21" max="21" width="6.5703125" style="2" customWidth="1"/>
    <col min="22" max="22" width="5.7109375" style="2"/>
    <col min="23" max="23" width="6.7109375" style="2" bestFit="1" customWidth="1"/>
    <col min="24" max="24" width="6.28515625" style="2" customWidth="1"/>
    <col min="25" max="25" width="5.85546875" style="2" bestFit="1" customWidth="1"/>
    <col min="26" max="26" width="6.7109375" style="2" bestFit="1" customWidth="1"/>
    <col min="27" max="27" width="6.5703125" style="2" customWidth="1"/>
    <col min="28" max="39" width="5.85546875" style="2" bestFit="1" customWidth="1"/>
    <col min="40" max="40" width="5.7109375" style="2"/>
    <col min="41" max="44" width="5.85546875" style="2" bestFit="1" customWidth="1"/>
    <col min="45" max="16384" width="5.7109375" style="2"/>
  </cols>
  <sheetData>
    <row r="1" spans="1:44" x14ac:dyDescent="0.2">
      <c r="A1" s="58" t="s">
        <v>209</v>
      </c>
      <c r="B1" s="59"/>
      <c r="C1" s="59"/>
      <c r="D1" s="59"/>
      <c r="E1" s="59"/>
      <c r="F1" s="59"/>
      <c r="G1" s="59"/>
      <c r="H1" s="1"/>
      <c r="I1" s="60" t="s">
        <v>25</v>
      </c>
      <c r="J1" s="59"/>
      <c r="K1" s="59"/>
      <c r="L1" s="59"/>
      <c r="M1" s="59"/>
      <c r="N1" s="59"/>
      <c r="O1" s="59"/>
      <c r="P1" s="59"/>
      <c r="Q1" s="59"/>
      <c r="R1" s="59"/>
      <c r="S1" s="30"/>
      <c r="W1" s="3" t="s">
        <v>5</v>
      </c>
      <c r="X1" s="4">
        <v>0.85</v>
      </c>
      <c r="Z1" s="3" t="s">
        <v>26</v>
      </c>
      <c r="AA1" s="5">
        <f ca="1">MAX(OFFSET(AD45,0,0,COUNT($AD$45:$AD$72)))</f>
        <v>49.242900621310497</v>
      </c>
      <c r="AC1" s="6" t="s">
        <v>13</v>
      </c>
      <c r="AD1" s="7">
        <f>MIN(Q3:Q42)</f>
        <v>-220.53742980957031</v>
      </c>
      <c r="AI1" s="6" t="s">
        <v>13</v>
      </c>
      <c r="AJ1" s="7">
        <f>MAX(Q3:Q42)</f>
        <v>-112.76921844482422</v>
      </c>
    </row>
    <row r="2" spans="1:44" x14ac:dyDescent="0.2">
      <c r="A2" s="8" t="s">
        <v>126</v>
      </c>
      <c r="B2" s="9"/>
      <c r="C2" s="9"/>
      <c r="D2" s="9"/>
      <c r="E2" s="9"/>
      <c r="F2" s="9"/>
      <c r="G2" s="9"/>
      <c r="H2" s="9"/>
      <c r="I2" s="8" t="s">
        <v>123</v>
      </c>
      <c r="J2" s="9"/>
      <c r="K2" s="9"/>
      <c r="L2" s="9"/>
      <c r="M2" s="9"/>
      <c r="N2" s="9"/>
      <c r="O2" s="9"/>
      <c r="P2" s="10"/>
      <c r="Q2" s="6" t="s">
        <v>13</v>
      </c>
      <c r="R2" s="6" t="s">
        <v>19</v>
      </c>
      <c r="S2" s="6" t="s">
        <v>20</v>
      </c>
      <c r="T2" s="6" t="s">
        <v>22</v>
      </c>
      <c r="U2" s="6" t="s">
        <v>32</v>
      </c>
      <c r="W2" s="3" t="s">
        <v>33</v>
      </c>
      <c r="X2" s="4">
        <v>0.65</v>
      </c>
      <c r="Z2" s="3" t="s">
        <v>34</v>
      </c>
      <c r="AA2" s="5">
        <f ca="1">AA1/(1-X4/X5)</f>
        <v>18.466087732991433</v>
      </c>
      <c r="AC2" s="6" t="s">
        <v>18</v>
      </c>
      <c r="AD2" s="6" t="s">
        <v>35</v>
      </c>
      <c r="AE2" s="6" t="s">
        <v>13</v>
      </c>
      <c r="AF2" s="6" t="s">
        <v>19</v>
      </c>
      <c r="AG2" s="6" t="s">
        <v>20</v>
      </c>
      <c r="AI2" s="6" t="s">
        <v>18</v>
      </c>
      <c r="AJ2" s="6" t="s">
        <v>35</v>
      </c>
      <c r="AK2" s="6" t="s">
        <v>13</v>
      </c>
      <c r="AL2" s="6" t="s">
        <v>19</v>
      </c>
      <c r="AM2" s="6" t="s">
        <v>20</v>
      </c>
      <c r="AO2" s="6" t="s">
        <v>13</v>
      </c>
      <c r="AP2" s="6" t="s">
        <v>19</v>
      </c>
      <c r="AQ2" s="6" t="s">
        <v>20</v>
      </c>
      <c r="AR2" s="6" t="s">
        <v>32</v>
      </c>
    </row>
    <row r="3" spans="1:44" x14ac:dyDescent="0.2">
      <c r="A3" s="11" t="s">
        <v>3</v>
      </c>
      <c r="B3" s="12">
        <v>0.28000000000000003</v>
      </c>
      <c r="C3" s="13"/>
      <c r="D3" s="13"/>
      <c r="E3" s="13"/>
      <c r="F3" s="13"/>
      <c r="G3" s="13"/>
      <c r="H3" s="13"/>
      <c r="I3" s="6" t="s">
        <v>27</v>
      </c>
      <c r="J3" s="6" t="s">
        <v>29</v>
      </c>
      <c r="K3" s="6" t="s">
        <v>28</v>
      </c>
      <c r="L3" s="6" t="s">
        <v>30</v>
      </c>
      <c r="M3" s="6" t="s">
        <v>31</v>
      </c>
      <c r="N3" s="13"/>
      <c r="O3" s="13"/>
      <c r="P3" s="14"/>
      <c r="Q3" s="17">
        <v>-193.47468566894531</v>
      </c>
      <c r="R3" s="17">
        <v>1899.5633544921875</v>
      </c>
      <c r="S3" s="17">
        <v>746.16998291015625</v>
      </c>
      <c r="T3" s="18" t="s">
        <v>192</v>
      </c>
      <c r="U3" s="18">
        <f>IF(COUNT(Q3),S3*COS($X$6)+R3*SIN($X$6),"")</f>
        <v>1443.6675488680098</v>
      </c>
      <c r="W3" s="3" t="s">
        <v>36</v>
      </c>
      <c r="X3" s="4">
        <v>0.9</v>
      </c>
      <c r="Z3" s="3" t="s">
        <v>37</v>
      </c>
      <c r="AA3" s="5">
        <f ca="1">AA1/(1-X7/X5)</f>
        <v>29.545740909491332</v>
      </c>
      <c r="AC3" s="18">
        <v>0</v>
      </c>
      <c r="AD3" s="18">
        <f t="array" ref="AD3">XCOMPRESSL($B$4,$B$5,$B$6,$B$15,$B$16,$B$17,$B$11,$B$12,$B$13,$B$7,$B$8,AC3,$AD$1,$B$3,$B$14)</f>
        <v>52.337112426757813</v>
      </c>
      <c r="AE3" s="18">
        <f t="array" ref="AE3:AG3">FLEXCOMPBIAXL($B$4,$B$5,$B$6,$B$15,$B$16,$B$17,$B$11,$B$12,$B$13,$B$7,$B$8,AC3,AD3,$B$3,$B$14)</f>
        <v>-220.5374936544967</v>
      </c>
      <c r="AF3" s="18">
        <v>499.32136051211739</v>
      </c>
      <c r="AG3" s="18">
        <v>1637.9110966993635</v>
      </c>
      <c r="AI3" s="18">
        <v>0</v>
      </c>
      <c r="AJ3" s="18">
        <f t="shared" ref="AJ3:AJ39" si="0">XCOMPRESSL($B$4,$B$5,$B$6,$B$15,$B$16,$B$17,$B$11,$B$12,$B$13,$B$7,$B$8,AI3,$AJ$1,$B$3,$B$14)</f>
        <v>37.608566284179688</v>
      </c>
      <c r="AK3" s="18">
        <f t="array" ref="AK3:AM3">FLEXCOMPBIAXL($B$4,$B$5,$B$6,$B$15,$B$16,$B$17,$B$11,$B$12,$B$13,$B$7,$B$8,AI3,AJ3,$B$3,$B$14)</f>
        <v>-112.78753629423292</v>
      </c>
      <c r="AL3" s="18">
        <v>945.70091693397001</v>
      </c>
      <c r="AM3" s="18">
        <v>2396.3184298845968</v>
      </c>
      <c r="AO3" s="18">
        <f t="array" ref="AO3:AQ16">DIAGRAFLEXCOMPL(B4,B5,B6,B15,B16,B17,B11,B12,B13,B7,B8,B9,B3,B14)</f>
        <v>142.50263629535158</v>
      </c>
      <c r="AP3" s="18">
        <v>93.773489812096685</v>
      </c>
      <c r="AQ3" s="18">
        <v>31.257829937365546</v>
      </c>
      <c r="AR3" s="18">
        <f>AQ3*COS($X$6)+AP3*SIN($X$6)</f>
        <v>73.494706915332202</v>
      </c>
    </row>
    <row r="4" spans="1:44" x14ac:dyDescent="0.2">
      <c r="A4" s="11" t="s">
        <v>0</v>
      </c>
      <c r="B4" s="12">
        <v>0.20999999344348907</v>
      </c>
      <c r="C4" s="13"/>
      <c r="D4" s="13"/>
      <c r="E4" s="13"/>
      <c r="F4" s="13"/>
      <c r="G4" s="13"/>
      <c r="H4" s="13"/>
      <c r="I4" s="19">
        <f t="array" ref="I4:K4">FLEXCOMPBIAXL($B$4,$B$5,$B$6,$B$15,$B$16,$B$17,$B$11,$B$12,$B$13,$B$7,$B$8,$B$9,$B$10,$B$3,$B$14)</f>
        <v>-200.92582382955612</v>
      </c>
      <c r="J4" s="19">
        <v>1626.6841409505907</v>
      </c>
      <c r="K4" s="19">
        <v>17.676540659370453</v>
      </c>
      <c r="L4" s="7">
        <f>K4*COS($X$6)+J4*SIN($X$6)</f>
        <v>1484.3441901451961</v>
      </c>
      <c r="M4" s="7">
        <f>SQRT(I4^2+J4^2+K4^2)</f>
        <v>1639.1415256747753</v>
      </c>
      <c r="N4" s="13"/>
      <c r="O4" s="13"/>
      <c r="P4" s="14"/>
      <c r="Q4" s="22">
        <v>-195.07479858398438</v>
      </c>
      <c r="R4" s="22">
        <v>-1394.5313720703125</v>
      </c>
      <c r="S4" s="22">
        <v>1161.10400390625</v>
      </c>
      <c r="T4" s="23" t="s">
        <v>192</v>
      </c>
      <c r="U4" s="23">
        <f t="shared" ref="U4:U42" si="1">IF(COUNT(Q4),S4*COS($X$6)+R4*SIN($X$6),"")</f>
        <v>-1742.1442031473869</v>
      </c>
      <c r="W4" s="3" t="s">
        <v>7</v>
      </c>
      <c r="X4" s="4">
        <v>5</v>
      </c>
      <c r="Z4" s="3" t="s">
        <v>39</v>
      </c>
      <c r="AA4" s="5">
        <f ca="1">IF(B10&lt;AA2,X4/(B10-AA1),X5/B10)</f>
        <v>-7.4609740981485553E-2</v>
      </c>
      <c r="AC4" s="23">
        <v>10</v>
      </c>
      <c r="AD4" s="23">
        <f t="array" ref="AD4">XCOMPRESSL($B$4,$B$5,$B$6,$B$15,$B$16,$B$17,$B$11,$B$12,$B$13,$B$7,$B$8,AC4,$AD$1,$B$3,$B$14)</f>
        <v>56.748766670074232</v>
      </c>
      <c r="AE4" s="23">
        <f t="array" ref="AE4:AG4">FLEXCOMPBIAXL($B$4,$B$5,$B$6,$B$15,$B$16,$B$17,$B$11,$B$12,$B$13,$B$7,$B$8,AC4,AD4,$B$3,$B$14)</f>
        <v>-220.55164371910712</v>
      </c>
      <c r="AF4" s="23">
        <v>785.28024017527866</v>
      </c>
      <c r="AG4" s="23">
        <v>1605.9730518624217</v>
      </c>
      <c r="AI4" s="23">
        <v>10</v>
      </c>
      <c r="AJ4" s="23">
        <f t="shared" si="0"/>
        <v>41.288307095324981</v>
      </c>
      <c r="AK4" s="23">
        <f t="array" ref="AK4:AM4">FLEXCOMPBIAXL($B$4,$B$5,$B$6,$B$15,$B$16,$B$17,$B$11,$B$12,$B$13,$B$7,$B$8,AI4,AJ4,$B$3,$B$14)</f>
        <v>-112.76646645549735</v>
      </c>
      <c r="AL4" s="23">
        <v>1197.1599725405326</v>
      </c>
      <c r="AM4" s="23">
        <v>2361.5321309494839</v>
      </c>
      <c r="AO4" s="23">
        <v>129.61101623850766</v>
      </c>
      <c r="AP4" s="23">
        <v>294.77901862994935</v>
      </c>
      <c r="AQ4" s="23">
        <v>-112.1197978663934</v>
      </c>
      <c r="AR4" s="23">
        <f t="shared" ref="AR4:AR30" si="2">AQ4*COS($X$6)+AP4*SIN($X$6)</f>
        <v>315.0293987832913</v>
      </c>
    </row>
    <row r="5" spans="1:44" x14ac:dyDescent="0.2">
      <c r="A5" s="11" t="s">
        <v>1</v>
      </c>
      <c r="B5" s="12">
        <v>4.1999998092651367</v>
      </c>
      <c r="C5" s="13"/>
      <c r="D5" s="13"/>
      <c r="E5" s="13"/>
      <c r="F5" s="13"/>
      <c r="G5" s="13"/>
      <c r="H5" s="13"/>
      <c r="I5" s="7">
        <f>I4/M4</f>
        <v>-0.12257991191263502</v>
      </c>
      <c r="J5" s="7">
        <f>J4/M4</f>
        <v>0.9924000554381317</v>
      </c>
      <c r="K5" s="7">
        <f>K4/M4</f>
        <v>1.0784023455261839E-2</v>
      </c>
      <c r="L5" s="13"/>
      <c r="M5" s="13"/>
      <c r="N5" s="13"/>
      <c r="O5" s="13"/>
      <c r="P5" s="14"/>
      <c r="Q5" s="22">
        <v>-218.93733215332031</v>
      </c>
      <c r="R5" s="22">
        <v>1772.7008056640625</v>
      </c>
      <c r="S5" s="22">
        <v>17.301162719726563</v>
      </c>
      <c r="T5" s="23" t="s">
        <v>23</v>
      </c>
      <c r="U5" s="23">
        <f t="shared" si="1"/>
        <v>1618.3673315637584</v>
      </c>
      <c r="W5" s="3" t="s">
        <v>8</v>
      </c>
      <c r="X5" s="4">
        <v>-3</v>
      </c>
      <c r="Z5" s="3" t="s">
        <v>40</v>
      </c>
      <c r="AA5" s="5">
        <f ca="1">MAX(OFFSET(AE45,0,0,COUNT($AE$45:$AE$72)))</f>
        <v>0.67400006053301043</v>
      </c>
      <c r="AC5" s="23">
        <v>20</v>
      </c>
      <c r="AD5" s="23">
        <f t="array" ref="AD5">XCOMPRESSL($B$4,$B$5,$B$6,$B$15,$B$16,$B$17,$B$11,$B$12,$B$13,$B$7,$B$8,AC5,$AD$1,$B$3,$B$14)</f>
        <v>59.471336860667037</v>
      </c>
      <c r="AE5" s="23">
        <f t="array" ref="AE5:AG5">FLEXCOMPBIAXL($B$4,$B$5,$B$6,$B$15,$B$16,$B$17,$B$11,$B$12,$B$13,$B$7,$B$8,AC5,AD5,$B$3,$B$14)</f>
        <v>-220.53158280054237</v>
      </c>
      <c r="AF5" s="23">
        <v>1069.0285411311686</v>
      </c>
      <c r="AG5" s="23">
        <v>1535.6381770122978</v>
      </c>
      <c r="AI5" s="23">
        <v>20</v>
      </c>
      <c r="AJ5" s="23">
        <f t="shared" si="0"/>
        <v>42.915544409858526</v>
      </c>
      <c r="AK5" s="23">
        <f t="array" ref="AK5:AM5">FLEXCOMPBIAXL($B$4,$B$5,$B$6,$B$15,$B$16,$B$17,$B$11,$B$12,$B$13,$B$7,$B$8,AI5,AJ5,$B$3,$B$14)</f>
        <v>-112.7578487588133</v>
      </c>
      <c r="AL5" s="23">
        <v>1338.7117019175869</v>
      </c>
      <c r="AM5" s="23">
        <v>2350.3172695709491</v>
      </c>
      <c r="AO5" s="23">
        <v>97.142984290198456</v>
      </c>
      <c r="AP5" s="23">
        <v>775.44967743660777</v>
      </c>
      <c r="AQ5" s="23">
        <v>-438.82305766775983</v>
      </c>
      <c r="AR5" s="23">
        <f t="shared" si="2"/>
        <v>886.16654308618888</v>
      </c>
    </row>
    <row r="6" spans="1:44" x14ac:dyDescent="0.2">
      <c r="A6" s="11" t="s">
        <v>2</v>
      </c>
      <c r="B6" s="12">
        <v>2100</v>
      </c>
      <c r="C6" s="13"/>
      <c r="D6" s="13"/>
      <c r="E6" s="13"/>
      <c r="F6" s="13"/>
      <c r="G6" s="13"/>
      <c r="H6" s="13"/>
      <c r="I6" s="24"/>
      <c r="J6" s="13"/>
      <c r="K6" s="13"/>
      <c r="L6" s="13"/>
      <c r="M6" s="13"/>
      <c r="N6" s="13"/>
      <c r="O6" s="13"/>
      <c r="P6" s="14"/>
      <c r="Q6" s="22">
        <v>-184.29052734375</v>
      </c>
      <c r="R6" s="22">
        <v>1676.9306640625</v>
      </c>
      <c r="S6" s="22">
        <v>17.845218658447266</v>
      </c>
      <c r="T6" s="23" t="s">
        <v>191</v>
      </c>
      <c r="U6" s="23">
        <f t="shared" si="1"/>
        <v>1530.3446405328007</v>
      </c>
      <c r="W6" s="3" t="s">
        <v>43</v>
      </c>
      <c r="X6" s="5">
        <f>RADIANS(B9)</f>
        <v>1.9815114600904837</v>
      </c>
      <c r="Z6" s="3" t="s">
        <v>44</v>
      </c>
      <c r="AA6" s="5">
        <f ca="1">IF(AA5&lt;X7,X2,IF(AA5&gt;X4,X3,X2+(X3-X2)*(AA5-X7)/(X4-X7)))</f>
        <v>0.65</v>
      </c>
      <c r="AC6" s="23">
        <v>30</v>
      </c>
      <c r="AD6" s="23">
        <f t="array" ref="AD6">XCOMPRESSL($B$4,$B$5,$B$6,$B$15,$B$16,$B$17,$B$11,$B$12,$B$13,$B$7,$B$8,AC6,$AD$1,$B$3,$B$14)</f>
        <v>60.556826398471117</v>
      </c>
      <c r="AE6" s="23">
        <f t="array" ref="AE6:AG6">FLEXCOMPBIAXL($B$4,$B$5,$B$6,$B$15,$B$16,$B$17,$B$11,$B$12,$B$13,$B$7,$B$8,AC6,AD6,$B$3,$B$14)</f>
        <v>-220.53883683507385</v>
      </c>
      <c r="AF6" s="23">
        <v>1333.6167927838324</v>
      </c>
      <c r="AG6" s="23">
        <v>1429.1847406475315</v>
      </c>
      <c r="AI6" s="23">
        <v>30</v>
      </c>
      <c r="AJ6" s="23">
        <f t="shared" si="0"/>
        <v>43.028472848605276</v>
      </c>
      <c r="AK6" s="23">
        <f t="array" ref="AK6:AM6">FLEXCOMPBIAXL($B$4,$B$5,$B$6,$B$15,$B$16,$B$17,$B$11,$B$12,$B$13,$B$7,$B$8,AI6,AJ6,$B$3,$B$14)</f>
        <v>-112.76958907368419</v>
      </c>
      <c r="AL6" s="23">
        <v>1483.7306882978853</v>
      </c>
      <c r="AM6" s="23">
        <v>2335.8472334661428</v>
      </c>
      <c r="AO6" s="23">
        <v>62.999069041911248</v>
      </c>
      <c r="AP6" s="23">
        <v>1237.532264426866</v>
      </c>
      <c r="AQ6" s="23">
        <v>-646.89499946264402</v>
      </c>
      <c r="AR6" s="23">
        <f t="shared" si="2"/>
        <v>1392.896138904805</v>
      </c>
    </row>
    <row r="7" spans="1:44" x14ac:dyDescent="0.2">
      <c r="A7" s="11" t="s">
        <v>109</v>
      </c>
      <c r="B7" s="12">
        <v>3</v>
      </c>
      <c r="C7" s="13"/>
      <c r="D7" s="13"/>
      <c r="E7" s="13"/>
      <c r="F7" s="13"/>
      <c r="G7" s="13"/>
      <c r="H7" s="13"/>
      <c r="I7" s="25" t="s">
        <v>124</v>
      </c>
      <c r="J7" s="13"/>
      <c r="K7" s="13"/>
      <c r="L7" s="13"/>
      <c r="M7" s="13"/>
      <c r="N7" s="13"/>
      <c r="O7" s="13"/>
      <c r="P7" s="14"/>
      <c r="Q7" s="22">
        <v>-193.10365295410156</v>
      </c>
      <c r="R7" s="22">
        <v>1509.0343017578125</v>
      </c>
      <c r="S7" s="22">
        <v>39.045375823974609</v>
      </c>
      <c r="T7" s="23" t="s">
        <v>128</v>
      </c>
      <c r="U7" s="23">
        <f t="shared" si="1"/>
        <v>1367.9468076430776</v>
      </c>
      <c r="W7" s="3" t="s">
        <v>45</v>
      </c>
      <c r="X7" s="5">
        <f>B5/B6*1000</f>
        <v>1.9999999091738747</v>
      </c>
      <c r="Z7" s="3" t="s">
        <v>46</v>
      </c>
      <c r="AA7" s="5">
        <f ca="1">SUM(OFFSET(AG45,0,0,COUNT($AG$45:$AG$72)))</f>
        <v>-61.107824247491095</v>
      </c>
      <c r="AC7" s="23">
        <v>40</v>
      </c>
      <c r="AD7" s="23">
        <f t="array" ref="AD7">XCOMPRESSL($B$4,$B$5,$B$6,$B$15,$B$16,$B$17,$B$11,$B$12,$B$13,$B$7,$B$8,AC7,$AD$1,$B$3,$B$14)</f>
        <v>60.414988880029519</v>
      </c>
      <c r="AE7" s="23">
        <f t="array" ref="AE7:AG7">FLEXCOMPBIAXL($B$4,$B$5,$B$6,$B$15,$B$16,$B$17,$B$11,$B$12,$B$13,$B$7,$B$8,AC7,AD7,$B$3,$B$14)</f>
        <v>-220.54784147984839</v>
      </c>
      <c r="AF7" s="23">
        <v>1503.8681340423559</v>
      </c>
      <c r="AG7" s="23">
        <v>1336.8070101087703</v>
      </c>
      <c r="AI7" s="23">
        <v>40</v>
      </c>
      <c r="AJ7" s="23">
        <f t="shared" si="0"/>
        <v>41.892364590412328</v>
      </c>
      <c r="AK7" s="23">
        <f t="array" ref="AK7:AM7">FLEXCOMPBIAXL($B$4,$B$5,$B$6,$B$15,$B$16,$B$17,$B$11,$B$12,$B$13,$B$7,$B$8,AI7,AJ7,$B$3,$B$14)</f>
        <v>-112.75604975984693</v>
      </c>
      <c r="AL7" s="23">
        <v>1642.3137920669344</v>
      </c>
      <c r="AM7" s="23">
        <v>2280.2195989302299</v>
      </c>
      <c r="AO7" s="23">
        <v>16.380621348158819</v>
      </c>
      <c r="AP7" s="23">
        <v>1806.4868550578371</v>
      </c>
      <c r="AQ7" s="23">
        <v>-821.09325753209782</v>
      </c>
      <c r="AR7" s="23">
        <f t="shared" si="2"/>
        <v>1984.0852054036141</v>
      </c>
    </row>
    <row r="8" spans="1:44" x14ac:dyDescent="0.2">
      <c r="A8" s="11" t="s">
        <v>4</v>
      </c>
      <c r="B8" s="12">
        <v>15</v>
      </c>
      <c r="C8" s="13"/>
      <c r="D8" s="13"/>
      <c r="E8" s="13"/>
      <c r="F8" s="13"/>
      <c r="G8" s="13"/>
      <c r="H8" s="13"/>
      <c r="I8" s="6" t="s">
        <v>41</v>
      </c>
      <c r="J8" s="6" t="s">
        <v>15</v>
      </c>
      <c r="K8" s="6" t="s">
        <v>14</v>
      </c>
      <c r="L8" s="6" t="s">
        <v>122</v>
      </c>
      <c r="M8" s="6" t="s">
        <v>42</v>
      </c>
      <c r="N8" s="13"/>
      <c r="O8" s="13"/>
      <c r="P8" s="14"/>
      <c r="Q8" s="22">
        <v>-193.0272216796875</v>
      </c>
      <c r="R8" s="22">
        <v>1504.3433837890625</v>
      </c>
      <c r="S8" s="22">
        <v>26.148242950439453</v>
      </c>
      <c r="T8" s="23" t="s">
        <v>204</v>
      </c>
      <c r="U8" s="23">
        <f t="shared" si="1"/>
        <v>1368.7953822960653</v>
      </c>
      <c r="W8" s="3" t="s">
        <v>6</v>
      </c>
      <c r="X8" s="5">
        <f>-X1*B4</f>
        <v>-0.17849999442696571</v>
      </c>
      <c r="Z8" s="3" t="s">
        <v>47</v>
      </c>
      <c r="AA8" s="5">
        <f ca="1">SUM(OFFSET(AH45,0,0,COUNT($AH$45:$AH$72)))</f>
        <v>-731.80379673010566</v>
      </c>
      <c r="AC8" s="23">
        <v>50</v>
      </c>
      <c r="AD8" s="23">
        <f t="array" ref="AD8">XCOMPRESSL($B$4,$B$5,$B$6,$B$15,$B$16,$B$17,$B$11,$B$12,$B$13,$B$7,$B$8,AC8,$AD$1,$B$3,$B$14)</f>
        <v>58.335736685904209</v>
      </c>
      <c r="AE8" s="23">
        <f t="array" ref="AE8:AG8">FLEXCOMPBIAXL($B$4,$B$5,$B$6,$B$15,$B$16,$B$17,$B$11,$B$12,$B$13,$B$7,$B$8,AC8,AD8,$B$3,$B$14)</f>
        <v>-220.52255269622049</v>
      </c>
      <c r="AF8" s="23">
        <v>1615.0767979761767</v>
      </c>
      <c r="AG8" s="23">
        <v>1269.3612724215329</v>
      </c>
      <c r="AI8" s="23">
        <v>50</v>
      </c>
      <c r="AJ8" s="23">
        <f t="shared" si="0"/>
        <v>39.12388651908315</v>
      </c>
      <c r="AK8" s="23">
        <f t="array" ref="AK8:AM8">FLEXCOMPBIAXL($B$4,$B$5,$B$6,$B$15,$B$16,$B$17,$B$11,$B$12,$B$13,$B$7,$B$8,AI8,AJ8,$B$3,$B$14)</f>
        <v>-112.77389631950341</v>
      </c>
      <c r="AL8" s="23">
        <v>1842.7391698515812</v>
      </c>
      <c r="AM8" s="23">
        <v>2227.1082073779467</v>
      </c>
      <c r="AO8" s="23">
        <v>-24.78248843771798</v>
      </c>
      <c r="AP8" s="23">
        <v>1894.1068154242823</v>
      </c>
      <c r="AQ8" s="23">
        <v>-726.40574656657668</v>
      </c>
      <c r="AR8" s="23">
        <f t="shared" si="2"/>
        <v>2026.6128806098202</v>
      </c>
    </row>
    <row r="9" spans="1:44" x14ac:dyDescent="0.2">
      <c r="A9" s="11" t="s">
        <v>18</v>
      </c>
      <c r="B9" s="12">
        <v>113.53224371999018</v>
      </c>
      <c r="C9" s="13"/>
      <c r="D9" s="13"/>
      <c r="E9" s="13"/>
      <c r="F9" s="13"/>
      <c r="G9" s="13"/>
      <c r="H9" s="13"/>
      <c r="I9" s="26">
        <v>-218.93733215332031</v>
      </c>
      <c r="J9" s="26">
        <v>1772.7008056640625</v>
      </c>
      <c r="K9" s="26">
        <v>17.301162719726563</v>
      </c>
      <c r="L9" s="7">
        <f t="shared" ref="L9" si="3">J9*COS($X$6)+K9*SIN($X$6)</f>
        <v>-691.91522539037385</v>
      </c>
      <c r="M9" s="7">
        <f>SQRT(I9^2+J9^2+K9^2)</f>
        <v>1786.2533504640051</v>
      </c>
      <c r="N9" s="13"/>
      <c r="O9" s="13"/>
      <c r="P9" s="14"/>
      <c r="Q9" s="22">
        <v>-192.93278503417969</v>
      </c>
      <c r="R9" s="22">
        <v>1502.942626953125</v>
      </c>
      <c r="S9" s="22">
        <v>26.592620849609375</v>
      </c>
      <c r="T9" s="23" t="s">
        <v>206</v>
      </c>
      <c r="U9" s="23">
        <f t="shared" si="1"/>
        <v>1367.3336940789097</v>
      </c>
      <c r="W9" s="3" t="s">
        <v>48</v>
      </c>
      <c r="X9" s="5">
        <f t="array" ref="X9:X11">MOMENTSPOLY(A45:B51)</f>
        <v>2000</v>
      </c>
      <c r="Z9" s="3" t="s">
        <v>49</v>
      </c>
      <c r="AA9" s="5">
        <f ca="1">SUM(OFFSET(AI45,0,0,COUNT($AI$45:$AI$72)))</f>
        <v>-230.03899335889616</v>
      </c>
      <c r="AC9" s="23">
        <v>60</v>
      </c>
      <c r="AD9" s="23">
        <f t="array" ref="AD9">XCOMPRESSL($B$4,$B$5,$B$6,$B$15,$B$16,$B$17,$B$11,$B$12,$B$13,$B$7,$B$8,AC9,$AD$1,$B$3,$B$14)</f>
        <v>54.538887374305588</v>
      </c>
      <c r="AE9" s="23">
        <f t="array" ref="AE9:AG9">FLEXCOMPBIAXL($B$4,$B$5,$B$6,$B$15,$B$16,$B$17,$B$11,$B$12,$B$13,$B$7,$B$8,AC9,AD9,$B$3,$B$14)</f>
        <v>-220.53767599356399</v>
      </c>
      <c r="AF9" s="23">
        <v>1702.4581774760809</v>
      </c>
      <c r="AG9" s="23">
        <v>1199.243414365724</v>
      </c>
      <c r="AI9" s="23">
        <v>60</v>
      </c>
      <c r="AJ9" s="23">
        <f t="shared" si="0"/>
        <v>34.5806557844056</v>
      </c>
      <c r="AK9" s="23">
        <f t="array" ref="AK9:AM9">FLEXCOMPBIAXL($B$4,$B$5,$B$6,$B$15,$B$16,$B$17,$B$11,$B$12,$B$13,$B$7,$B$8,AI9,AJ9,$B$3,$B$14)</f>
        <v>-112.76269036080107</v>
      </c>
      <c r="AL9" s="23">
        <v>2139.5574515705912</v>
      </c>
      <c r="AM9" s="23">
        <v>2206.8072510748921</v>
      </c>
      <c r="AO9" s="23">
        <v>-77.468884929892056</v>
      </c>
      <c r="AP9" s="23">
        <v>1919.6264736973349</v>
      </c>
      <c r="AQ9" s="23">
        <v>-433.50310556683678</v>
      </c>
      <c r="AR9" s="23">
        <f t="shared" si="2"/>
        <v>1933.0644108020406</v>
      </c>
    </row>
    <row r="10" spans="1:44" x14ac:dyDescent="0.2">
      <c r="A10" s="11" t="s">
        <v>35</v>
      </c>
      <c r="B10" s="12">
        <v>40.209226845385395</v>
      </c>
      <c r="C10" s="13"/>
      <c r="D10" s="13"/>
      <c r="E10" s="13"/>
      <c r="F10" s="13"/>
      <c r="G10" s="13"/>
      <c r="H10" s="13"/>
      <c r="I10" s="27">
        <f>I9/M9</f>
        <v>-0.12256790566492048</v>
      </c>
      <c r="J10" s="27">
        <f>J9/M9</f>
        <v>0.99241286528788197</v>
      </c>
      <c r="K10" s="27">
        <f>K9/M9</f>
        <v>9.6857272319362409E-3</v>
      </c>
      <c r="L10" s="13"/>
      <c r="M10" s="13"/>
      <c r="N10" s="13"/>
      <c r="O10" s="13"/>
      <c r="P10" s="14"/>
      <c r="Q10" s="22">
        <v>-193.12612915039063</v>
      </c>
      <c r="R10" s="22">
        <v>1501.9039306640625</v>
      </c>
      <c r="S10" s="22">
        <v>27.013982772827148</v>
      </c>
      <c r="T10" s="23" t="s">
        <v>129</v>
      </c>
      <c r="U10" s="23">
        <f t="shared" si="1"/>
        <v>1366.2131453106695</v>
      </c>
      <c r="W10" s="3" t="s">
        <v>50</v>
      </c>
      <c r="X10" s="5">
        <v>45625</v>
      </c>
      <c r="Z10" s="3" t="s">
        <v>51</v>
      </c>
      <c r="AA10" s="5">
        <f ca="1">0.8*X2*(X8*(X9-X12)-B5*X12)</f>
        <v>-264.4756192782242</v>
      </c>
      <c r="AC10" s="23">
        <v>70</v>
      </c>
      <c r="AD10" s="23">
        <f t="array" ref="AD10">XCOMPRESSL($B$4,$B$5,$B$6,$B$15,$B$16,$B$17,$B$11,$B$12,$B$13,$B$7,$B$8,AC10,$AD$1,$B$3,$B$14)</f>
        <v>49.032563678309273</v>
      </c>
      <c r="AE10" s="23">
        <f t="array" ref="AE10:AG10">FLEXCOMPBIAXL($B$4,$B$5,$B$6,$B$15,$B$16,$B$17,$B$11,$B$12,$B$13,$B$7,$B$8,AC10,AD10,$B$3,$B$14)</f>
        <v>-220.52618527265918</v>
      </c>
      <c r="AF10" s="23">
        <v>1785.0482670616459</v>
      </c>
      <c r="AG10" s="23">
        <v>1124.4241095071659</v>
      </c>
      <c r="AI10" s="23">
        <v>70</v>
      </c>
      <c r="AJ10" s="23">
        <f t="shared" si="0"/>
        <v>29.274565906259756</v>
      </c>
      <c r="AK10" s="23">
        <f t="array" ref="AK10:AM10">FLEXCOMPBIAXL($B$4,$B$5,$B$6,$B$15,$B$16,$B$17,$B$11,$B$12,$B$13,$B$7,$B$8,AI10,AJ10,$B$3,$B$14)</f>
        <v>-112.76047960086035</v>
      </c>
      <c r="AL10" s="23">
        <v>2448.1541060071891</v>
      </c>
      <c r="AM10" s="23">
        <v>2083.5560293747117</v>
      </c>
      <c r="AO10" s="23">
        <v>-100.77138537334584</v>
      </c>
      <c r="AP10" s="23">
        <v>1859.1117737207521</v>
      </c>
      <c r="AQ10" s="23">
        <v>-322.17767962718528</v>
      </c>
      <c r="AR10" s="23">
        <f t="shared" si="2"/>
        <v>1833.1340276383246</v>
      </c>
    </row>
    <row r="11" spans="1:44" x14ac:dyDescent="0.2">
      <c r="A11" s="11" t="s">
        <v>9</v>
      </c>
      <c r="B11" s="12">
        <v>2</v>
      </c>
      <c r="C11" s="13"/>
      <c r="D11" s="13"/>
      <c r="E11" s="13"/>
      <c r="F11" s="13"/>
      <c r="G11" s="13"/>
      <c r="H11" s="13"/>
      <c r="I11" s="24"/>
      <c r="J11" s="13"/>
      <c r="K11" s="13"/>
      <c r="L11" s="13"/>
      <c r="M11" s="13"/>
      <c r="N11" s="13"/>
      <c r="O11" s="13"/>
      <c r="P11" s="14"/>
      <c r="Q11" s="22">
        <v>-193.28498840332031</v>
      </c>
      <c r="R11" s="22">
        <v>1500.7325439453125</v>
      </c>
      <c r="S11" s="22">
        <v>25.492536544799805</v>
      </c>
      <c r="T11" s="23" t="s">
        <v>201</v>
      </c>
      <c r="U11" s="23">
        <f t="shared" si="1"/>
        <v>1365.7466367127195</v>
      </c>
      <c r="W11" s="3" t="s">
        <v>55</v>
      </c>
      <c r="X11" s="5">
        <v>40625</v>
      </c>
      <c r="Z11" s="3" t="s">
        <v>56</v>
      </c>
      <c r="AA11" s="5">
        <f t="array" aca="1" ref="AA11:AA13" ca="1">MOMENTSPOLY(OFFSET($H$45,0,0,COUNT($H$45:$H$53),2))</f>
        <v>1389.4052411270748</v>
      </c>
      <c r="AC11" s="23">
        <v>80</v>
      </c>
      <c r="AD11" s="23">
        <f t="array" ref="AD11">XCOMPRESSL($B$4,$B$5,$B$6,$B$15,$B$16,$B$17,$B$11,$B$12,$B$13,$B$7,$B$8,AC11,$AD$1,$B$3,$B$14)</f>
        <v>42.348457391267672</v>
      </c>
      <c r="AE11" s="23">
        <f t="array" ref="AE11:AG11">FLEXCOMPBIAXL($B$4,$B$5,$B$6,$B$15,$B$16,$B$17,$B$11,$B$12,$B$13,$B$7,$B$8,AC11,AD11,$B$3,$B$14)</f>
        <v>-220.53729999088492</v>
      </c>
      <c r="AF11" s="23">
        <v>1854.1954198276828</v>
      </c>
      <c r="AG11" s="23">
        <v>1033.8189409764036</v>
      </c>
      <c r="AI11" s="23">
        <v>80</v>
      </c>
      <c r="AJ11" s="23">
        <f t="shared" si="0"/>
        <v>23.751988187103485</v>
      </c>
      <c r="AK11" s="23">
        <f t="array" ref="AK11:AM11">FLEXCOMPBIAXL($B$4,$B$5,$B$6,$B$15,$B$16,$B$17,$B$11,$B$12,$B$13,$B$7,$B$8,AI11,AJ11,$B$3,$B$14)</f>
        <v>-112.7893490496609</v>
      </c>
      <c r="AL11" s="23">
        <v>2795.1405770392284</v>
      </c>
      <c r="AM11" s="23">
        <v>1729.4369032649427</v>
      </c>
      <c r="AO11" s="23">
        <v>-134.41609147398199</v>
      </c>
      <c r="AP11" s="23">
        <v>1836.3064644709511</v>
      </c>
      <c r="AQ11" s="23">
        <v>-214.98069316991692</v>
      </c>
      <c r="AR11" s="23">
        <f t="shared" si="2"/>
        <v>1769.425295449606</v>
      </c>
    </row>
    <row r="12" spans="1:44" x14ac:dyDescent="0.2">
      <c r="A12" s="11" t="s">
        <v>10</v>
      </c>
      <c r="B12" s="12">
        <v>2</v>
      </c>
      <c r="C12" s="13"/>
      <c r="D12" s="13"/>
      <c r="E12" s="13"/>
      <c r="F12" s="13"/>
      <c r="G12" s="13"/>
      <c r="H12" s="13"/>
      <c r="I12" s="25" t="s">
        <v>125</v>
      </c>
      <c r="J12" s="13"/>
      <c r="K12" s="13"/>
      <c r="L12" s="13"/>
      <c r="M12" s="13"/>
      <c r="N12" s="13"/>
      <c r="O12" s="13"/>
      <c r="P12" s="14"/>
      <c r="Q12" s="22">
        <v>-192.98037719726563</v>
      </c>
      <c r="R12" s="22">
        <v>1499.5281982421875</v>
      </c>
      <c r="S12" s="22">
        <v>18.138359069824219</v>
      </c>
      <c r="T12" s="23" t="s">
        <v>130</v>
      </c>
      <c r="U12" s="23">
        <f t="shared" si="1"/>
        <v>1367.5787161110215</v>
      </c>
      <c r="W12" s="3" t="s">
        <v>57</v>
      </c>
      <c r="X12" s="5">
        <f t="array" aca="1" ref="X12:X14" ca="1">MOMENTSPUNT(OFFSET($W$45,0,0,COUNT($W$45:$W$72),3))</f>
        <v>37.699111843077517</v>
      </c>
      <c r="Z12" s="3" t="s">
        <v>58</v>
      </c>
      <c r="AA12" s="5">
        <f ca="1"/>
        <v>8693.5725383568424</v>
      </c>
      <c r="AC12" s="23">
        <v>90</v>
      </c>
      <c r="AD12" s="23">
        <f t="array" ref="AD12">XCOMPRESSL($B$4,$B$5,$B$6,$B$15,$B$16,$B$17,$B$11,$B$12,$B$13,$B$7,$B$8,AC12,$AD$1,$B$3,$B$14)</f>
        <v>34.857940673828125</v>
      </c>
      <c r="AE12" s="23">
        <f t="array" ref="AE12:AG12">FLEXCOMPBIAXL($B$4,$B$5,$B$6,$B$15,$B$16,$B$17,$B$11,$B$12,$B$13,$B$7,$B$8,AC12,AD12,$B$3,$B$14)</f>
        <v>-220.54071250136272</v>
      </c>
      <c r="AF12" s="23">
        <v>1886.9591842819491</v>
      </c>
      <c r="AG12" s="23">
        <v>939.0976107623743</v>
      </c>
      <c r="AI12" s="23">
        <v>90</v>
      </c>
      <c r="AJ12" s="23">
        <f t="shared" si="0"/>
        <v>17.041778564453125</v>
      </c>
      <c r="AK12" s="23">
        <f t="array" ref="AK12:AM12">FLEXCOMPBIAXL($B$4,$B$5,$B$6,$B$15,$B$16,$B$17,$B$11,$B$12,$B$13,$B$7,$B$8,AI12,AJ12,$B$3,$B$14)</f>
        <v>-112.77977125813236</v>
      </c>
      <c r="AL12" s="23">
        <v>3249.1986786039674</v>
      </c>
      <c r="AM12" s="23">
        <v>1246.508724751094</v>
      </c>
      <c r="AO12" s="23">
        <v>-173.28080243643259</v>
      </c>
      <c r="AP12" s="23">
        <v>1748.3330622823885</v>
      </c>
      <c r="AQ12" s="23">
        <v>-85.562460524068285</v>
      </c>
      <c r="AR12" s="23">
        <f t="shared" si="2"/>
        <v>1637.0959724119959</v>
      </c>
    </row>
    <row r="13" spans="1:44" x14ac:dyDescent="0.2">
      <c r="A13" s="11" t="s">
        <v>11</v>
      </c>
      <c r="B13" s="12">
        <v>1</v>
      </c>
      <c r="C13" s="13"/>
      <c r="D13" s="13"/>
      <c r="E13" s="13"/>
      <c r="F13" s="13"/>
      <c r="G13" s="13"/>
      <c r="H13" s="13"/>
      <c r="I13" s="6" t="s">
        <v>52</v>
      </c>
      <c r="J13" s="6" t="s">
        <v>53</v>
      </c>
      <c r="K13" s="6" t="s">
        <v>54</v>
      </c>
      <c r="L13" s="13"/>
      <c r="M13" s="6" t="s">
        <v>127</v>
      </c>
      <c r="N13" s="13"/>
      <c r="O13" s="13"/>
      <c r="P13" s="14"/>
      <c r="Q13" s="22">
        <v>-193.08283996582031</v>
      </c>
      <c r="R13" s="22">
        <v>1499.1710205078125</v>
      </c>
      <c r="S13" s="22">
        <v>25.297758102416992</v>
      </c>
      <c r="T13" s="23" t="s">
        <v>131</v>
      </c>
      <c r="U13" s="23">
        <f t="shared" si="1"/>
        <v>1364.392744777293</v>
      </c>
      <c r="W13" s="3" t="s">
        <v>59</v>
      </c>
      <c r="X13" s="5">
        <f ca="1"/>
        <v>848.23001646924399</v>
      </c>
      <c r="Z13" s="3" t="s">
        <v>60</v>
      </c>
      <c r="AA13" s="5">
        <f ca="1"/>
        <v>4448.6907157599926</v>
      </c>
      <c r="AC13" s="23">
        <v>100</v>
      </c>
      <c r="AD13" s="23">
        <f t="array" ref="AD13">XCOMPRESSL($B$4,$B$5,$B$6,$B$15,$B$16,$B$17,$B$11,$B$12,$B$13,$B$7,$B$8,AC13,$AD$1,$B$3,$B$14)</f>
        <v>37.953355201963802</v>
      </c>
      <c r="AE13" s="23">
        <f t="array" ref="AE13:AG13">FLEXCOMPBIAXL($B$4,$B$5,$B$6,$B$15,$B$16,$B$17,$B$11,$B$12,$B$13,$B$7,$B$8,AC13,AD13,$B$3,$B$14)</f>
        <v>-220.526903757355</v>
      </c>
      <c r="AF13" s="23">
        <v>1805.2970356548701</v>
      </c>
      <c r="AG13" s="23">
        <v>718.09288815277421</v>
      </c>
      <c r="AI13" s="23">
        <v>100</v>
      </c>
      <c r="AJ13" s="23">
        <f t="shared" si="0"/>
        <v>24.006901376430129</v>
      </c>
      <c r="AK13" s="23">
        <f t="array" ref="AK13:AM13">FLEXCOMPBIAXL($B$4,$B$5,$B$6,$B$15,$B$16,$B$17,$B$11,$B$12,$B$13,$B$7,$B$8,AI13,AJ13,$B$3,$B$14)</f>
        <v>-112.75388614014554</v>
      </c>
      <c r="AL13" s="23">
        <v>2521.040561683451</v>
      </c>
      <c r="AM13" s="23">
        <v>476.00463233068012</v>
      </c>
      <c r="AO13" s="23">
        <v>-216.4936547096346</v>
      </c>
      <c r="AP13" s="23">
        <v>1530.9328886887095</v>
      </c>
      <c r="AQ13" s="23">
        <v>73.562475559057503</v>
      </c>
      <c r="AR13" s="23">
        <f t="shared" si="2"/>
        <v>1374.2427372679308</v>
      </c>
    </row>
    <row r="14" spans="1:44" x14ac:dyDescent="0.2">
      <c r="A14" s="11" t="s">
        <v>110</v>
      </c>
      <c r="B14" s="12">
        <v>0</v>
      </c>
      <c r="C14" s="13"/>
      <c r="D14" s="13"/>
      <c r="E14" s="13"/>
      <c r="F14" s="13"/>
      <c r="G14" s="13"/>
      <c r="H14" s="13"/>
      <c r="I14" s="7">
        <f>ROUND(I5/I10-1,3)</f>
        <v>0</v>
      </c>
      <c r="J14" s="7">
        <f>ROUND(J5/J10-1,3)</f>
        <v>0</v>
      </c>
      <c r="K14" s="7">
        <f>ROUND(K5/K10-1,3)</f>
        <v>0.113</v>
      </c>
      <c r="L14" s="13"/>
      <c r="M14" s="7">
        <f>M4/M9</f>
        <v>0.91764223997059802</v>
      </c>
      <c r="N14" s="13"/>
      <c r="O14" s="13"/>
      <c r="P14" s="14"/>
      <c r="Q14" s="22">
        <v>-193.27616882324219</v>
      </c>
      <c r="R14" s="22">
        <v>1498.1324462890625</v>
      </c>
      <c r="S14" s="22">
        <v>25.719120025634766</v>
      </c>
      <c r="T14" s="23" t="s">
        <v>202</v>
      </c>
      <c r="U14" s="23">
        <f t="shared" si="1"/>
        <v>1363.2723079274526</v>
      </c>
      <c r="W14" s="3" t="s">
        <v>62</v>
      </c>
      <c r="X14" s="5">
        <f ca="1"/>
        <v>801.10612666539726</v>
      </c>
      <c r="Z14" s="3" t="s">
        <v>63</v>
      </c>
      <c r="AA14" s="5">
        <f ca="1">AA11*$X$8</f>
        <v>-248.00882779797979</v>
      </c>
      <c r="AC14" s="23">
        <v>110</v>
      </c>
      <c r="AD14" s="23">
        <f t="array" ref="AD14">XCOMPRESSL($B$4,$B$5,$B$6,$B$15,$B$16,$B$17,$B$11,$B$12,$B$13,$B$7,$B$8,AC14,$AD$1,$B$3,$B$14)</f>
        <v>41.670841141637368</v>
      </c>
      <c r="AE14" s="23">
        <f t="array" ref="AE14:AG14">FLEXCOMPBIAXL($B$4,$B$5,$B$6,$B$15,$B$16,$B$17,$B$11,$B$12,$B$13,$B$7,$B$8,AC14,AD14,$B$3,$B$14)</f>
        <v>-220.54409195724435</v>
      </c>
      <c r="AF14" s="23">
        <v>1594.9988402173988</v>
      </c>
      <c r="AG14" s="23">
        <v>261.50065503828642</v>
      </c>
      <c r="AI14" s="23">
        <v>110</v>
      </c>
      <c r="AJ14" s="23">
        <f t="shared" si="0"/>
        <v>29.503887667074491</v>
      </c>
      <c r="AK14" s="23">
        <f t="array" ref="AK14:AM14">FLEXCOMPBIAXL($B$4,$B$5,$B$6,$B$15,$B$16,$B$17,$B$11,$B$12,$B$13,$B$7,$B$8,AI14,AJ14,$B$3,$B$14)</f>
        <v>-112.74348638484742</v>
      </c>
      <c r="AL14" s="23">
        <v>1989.6663701464793</v>
      </c>
      <c r="AM14" s="23">
        <v>-81.190551745091028</v>
      </c>
      <c r="AO14" s="23">
        <v>-260.11956370588871</v>
      </c>
      <c r="AP14" s="23">
        <v>1113.7548457760172</v>
      </c>
      <c r="AQ14" s="23">
        <v>161.14073619149985</v>
      </c>
      <c r="AR14" s="23">
        <f t="shared" si="2"/>
        <v>956.79214330675666</v>
      </c>
    </row>
    <row r="15" spans="1:44" x14ac:dyDescent="0.2">
      <c r="A15" s="11" t="s">
        <v>16</v>
      </c>
      <c r="B15" s="67">
        <v>50</v>
      </c>
      <c r="C15" s="13"/>
      <c r="D15" s="13"/>
      <c r="E15" s="13"/>
      <c r="F15" s="13"/>
      <c r="G15" s="13"/>
      <c r="H15" s="13"/>
      <c r="I15" s="24"/>
      <c r="J15" s="13"/>
      <c r="K15" s="13"/>
      <c r="L15" s="13"/>
      <c r="M15" s="13"/>
      <c r="N15" s="13"/>
      <c r="O15" s="13"/>
      <c r="P15" s="14"/>
      <c r="Q15" s="22">
        <v>-192.92431640625</v>
      </c>
      <c r="R15" s="22">
        <v>1496.823486328125</v>
      </c>
      <c r="S15" s="22">
        <v>21.481056213378906</v>
      </c>
      <c r="T15" s="23" t="s">
        <v>205</v>
      </c>
      <c r="U15" s="23">
        <f t="shared" si="1"/>
        <v>1363.7643178564308</v>
      </c>
      <c r="W15" s="3" t="s">
        <v>64</v>
      </c>
      <c r="X15" s="5">
        <f ca="1">(-X11*X8+(B5+X8)*X14)/(-X8*X9+(B5+X8)*X12)</f>
        <v>20.591952596457645</v>
      </c>
      <c r="Z15" s="3" t="s">
        <v>65</v>
      </c>
      <c r="AA15" s="5">
        <f ca="1">AA12*$X$8</f>
        <v>-1551.8026496471184</v>
      </c>
      <c r="AC15" s="23">
        <v>120</v>
      </c>
      <c r="AD15" s="23">
        <f t="array" ref="AD15">XCOMPRESSL($B$4,$B$5,$B$6,$B$15,$B$16,$B$17,$B$11,$B$12,$B$13,$B$7,$B$8,AC15,$AD$1,$B$3,$B$14)</f>
        <v>44.343175509406869</v>
      </c>
      <c r="AE15" s="23">
        <f t="array" ref="AE15:AG15">FLEXCOMPBIAXL($B$4,$B$5,$B$6,$B$15,$B$16,$B$17,$B$11,$B$12,$B$13,$B$7,$B$8,AC15,AD15,$B$3,$B$14)</f>
        <v>-220.52550649700731</v>
      </c>
      <c r="AF15" s="23">
        <v>1306.7675421787121</v>
      </c>
      <c r="AG15" s="23">
        <v>-242.93230043442207</v>
      </c>
      <c r="AI15" s="23">
        <v>120</v>
      </c>
      <c r="AJ15" s="23">
        <f t="shared" si="0"/>
        <v>32.541942525663337</v>
      </c>
      <c r="AK15" s="23">
        <f t="array" ref="AK15:AM15">FLEXCOMPBIAXL($B$4,$B$5,$B$6,$B$15,$B$16,$B$17,$B$11,$B$12,$B$13,$B$7,$B$8,AI15,AJ15,$B$3,$B$14)</f>
        <v>-112.7959252765377</v>
      </c>
      <c r="AL15" s="23">
        <v>1597.22726744903</v>
      </c>
      <c r="AM15" s="23">
        <v>-651.50106859361676</v>
      </c>
      <c r="AO15" s="23">
        <v>-264.4756192782242</v>
      </c>
      <c r="AP15" s="23">
        <v>732.71642317801707</v>
      </c>
      <c r="AQ15" s="23">
        <v>70.820295505370169</v>
      </c>
      <c r="AR15" s="23">
        <f t="shared" si="2"/>
        <v>643.50437820193463</v>
      </c>
    </row>
    <row r="16" spans="1:44" x14ac:dyDescent="0.2">
      <c r="A16" s="11" t="s">
        <v>17</v>
      </c>
      <c r="B16" s="67">
        <v>55</v>
      </c>
      <c r="C16" s="13"/>
      <c r="D16" s="13"/>
      <c r="E16" s="13"/>
      <c r="F16" s="13"/>
      <c r="G16" s="13"/>
      <c r="H16" s="13"/>
      <c r="I16" s="24"/>
      <c r="J16" s="13"/>
      <c r="K16" s="13"/>
      <c r="L16" s="13"/>
      <c r="M16" s="13"/>
      <c r="N16" s="13"/>
      <c r="O16" s="13"/>
      <c r="P16" s="14"/>
      <c r="Q16" s="22">
        <v>-192.87625122070313</v>
      </c>
      <c r="R16" s="22">
        <v>1496.6875</v>
      </c>
      <c r="S16" s="22">
        <v>16.033361434936523</v>
      </c>
      <c r="T16" s="23" t="s">
        <v>132</v>
      </c>
      <c r="U16" s="23">
        <f t="shared" si="1"/>
        <v>1365.814715103309</v>
      </c>
      <c r="W16" s="3" t="s">
        <v>66</v>
      </c>
      <c r="X16" s="5">
        <f ca="1">(-X10*X8+(B5+X8)*X13)/(-X8*X9+(B5+X8)*X12)</f>
        <v>22.719349134514118</v>
      </c>
      <c r="Z16" s="3" t="s">
        <v>67</v>
      </c>
      <c r="AA16" s="5">
        <f ca="1">AA13*$X$8</f>
        <v>-794.0912679704528</v>
      </c>
      <c r="AC16" s="23">
        <v>130</v>
      </c>
      <c r="AD16" s="23">
        <f t="array" ref="AD16">XCOMPRESSL($B$4,$B$5,$B$6,$B$15,$B$16,$B$17,$B$11,$B$12,$B$13,$B$7,$B$8,AC16,$AD$1,$B$3,$B$14)</f>
        <v>45.842569955036538</v>
      </c>
      <c r="AE16" s="23">
        <f t="array" ref="AE16:AG16">FLEXCOMPBIAXL($B$4,$B$5,$B$6,$B$15,$B$16,$B$17,$B$11,$B$12,$B$13,$B$7,$B$8,AC16,AD16,$B$3,$B$14)</f>
        <v>-220.54182279543465</v>
      </c>
      <c r="AF16" s="23">
        <v>893.40045564610705</v>
      </c>
      <c r="AG16" s="23">
        <v>-797.03328434169168</v>
      </c>
      <c r="AI16" s="23">
        <v>130</v>
      </c>
      <c r="AJ16" s="23">
        <f t="shared" si="0"/>
        <v>34.345541834022313</v>
      </c>
      <c r="AK16" s="23">
        <f t="array" ref="AK16:AM16">FLEXCOMPBIAXL($B$4,$B$5,$B$6,$B$15,$B$16,$B$17,$B$11,$B$12,$B$13,$B$7,$B$8,AI16,AJ16,$B$3,$B$14)</f>
        <v>-112.77475017663491</v>
      </c>
      <c r="AL16" s="23">
        <v>1190.9812729150892</v>
      </c>
      <c r="AM16" s="23">
        <v>-1157.6539680972689</v>
      </c>
      <c r="AO16" s="23">
        <v>-264.4756192782242</v>
      </c>
      <c r="AP16" s="23">
        <v>-3.6975049687820295E-13</v>
      </c>
      <c r="AQ16" s="23">
        <v>-4.8229013767199259E-14</v>
      </c>
      <c r="AR16" s="23">
        <f t="shared" si="2"/>
        <v>-3.1974423109204508E-13</v>
      </c>
    </row>
    <row r="17" spans="1:44" x14ac:dyDescent="0.2">
      <c r="A17" s="11" t="s">
        <v>114</v>
      </c>
      <c r="B17" s="67">
        <v>25</v>
      </c>
      <c r="C17" s="13"/>
      <c r="D17" s="13"/>
      <c r="E17" s="13"/>
      <c r="F17" s="13"/>
      <c r="G17" s="13"/>
      <c r="H17" s="13"/>
      <c r="I17" s="25" t="s">
        <v>68</v>
      </c>
      <c r="J17" s="13"/>
      <c r="K17" s="13"/>
      <c r="L17" s="13"/>
      <c r="M17" s="28" t="s">
        <v>61</v>
      </c>
      <c r="N17" s="13"/>
      <c r="O17" s="13"/>
      <c r="Q17" s="22">
        <v>-114.10828399658203</v>
      </c>
      <c r="R17" s="22">
        <v>-1057.4520263671875</v>
      </c>
      <c r="S17" s="22">
        <v>1156.1134033203125</v>
      </c>
      <c r="T17" s="23" t="s">
        <v>207</v>
      </c>
      <c r="U17" s="23">
        <f t="shared" si="1"/>
        <v>-1431.1053101479122</v>
      </c>
      <c r="W17" s="3" t="s">
        <v>69</v>
      </c>
      <c r="X17" s="5">
        <f>IF(B4&lt;=B3,0.85,IF(B4&gt;=2*B3,0.65,0.85-(0.85-0.65)*(B4/B3-1)))</f>
        <v>0.85</v>
      </c>
      <c r="Z17" s="3" t="s">
        <v>70</v>
      </c>
      <c r="AA17" s="5">
        <f ca="1">AA14+AA7</f>
        <v>-309.11665204547091</v>
      </c>
      <c r="AC17" s="23">
        <v>140</v>
      </c>
      <c r="AD17" s="23">
        <f t="array" ref="AD17">XCOMPRESSL($B$4,$B$5,$B$6,$B$15,$B$16,$B$17,$B$11,$B$12,$B$13,$B$7,$B$8,AC17,$AD$1,$B$3,$B$14)</f>
        <v>46.309666586788417</v>
      </c>
      <c r="AE17" s="23">
        <f t="array" ref="AE17:AG17">FLEXCOMPBIAXL($B$4,$B$5,$B$6,$B$15,$B$16,$B$17,$B$11,$B$12,$B$13,$B$7,$B$8,AC17,AD17,$B$3,$B$14)</f>
        <v>-220.51817050856994</v>
      </c>
      <c r="AF17" s="23">
        <v>392.65286615079623</v>
      </c>
      <c r="AG17" s="23">
        <v>-1321.0528650935594</v>
      </c>
      <c r="AI17" s="23">
        <v>140</v>
      </c>
      <c r="AJ17" s="23">
        <f t="shared" si="0"/>
        <v>34.379010513782085</v>
      </c>
      <c r="AK17" s="23">
        <f t="array" ref="AK17:AM17">FLEXCOMPBIAXL($B$4,$B$5,$B$6,$B$15,$B$16,$B$17,$B$11,$B$12,$B$13,$B$7,$B$8,AI17,AJ17,$B$3,$B$14)</f>
        <v>-112.77514064020293</v>
      </c>
      <c r="AL17" s="23">
        <v>790.405863664869</v>
      </c>
      <c r="AM17" s="23">
        <v>-1588.1457735980789</v>
      </c>
      <c r="AO17" s="23">
        <f t="array" ref="AO17:AQ30">DIAGRAFLEXCOMPL(B4,B5,B6,B15,B16,B17,B11,B12,B13,B7,B8,B9+180,B3,B14)</f>
        <v>142.50263629535158</v>
      </c>
      <c r="AP17" s="23">
        <v>93.773489812096642</v>
      </c>
      <c r="AQ17" s="23">
        <v>31.257829937365521</v>
      </c>
      <c r="AR17" s="23">
        <f t="shared" si="2"/>
        <v>73.494706915332173</v>
      </c>
    </row>
    <row r="18" spans="1:44" x14ac:dyDescent="0.2">
      <c r="A18" s="24"/>
      <c r="B18" s="13"/>
      <c r="C18" s="13"/>
      <c r="D18" s="13"/>
      <c r="E18" s="13"/>
      <c r="F18" s="13"/>
      <c r="G18" s="13"/>
      <c r="H18" s="13"/>
      <c r="I18" s="24"/>
      <c r="J18" s="13"/>
      <c r="K18" s="13"/>
      <c r="L18" s="13"/>
      <c r="M18" s="29" t="s">
        <v>12</v>
      </c>
      <c r="N18" s="30"/>
      <c r="O18" s="26" t="s">
        <v>21</v>
      </c>
      <c r="Q18" s="22">
        <v>-193.32376098632813</v>
      </c>
      <c r="R18" s="22">
        <v>1494.718017578125</v>
      </c>
      <c r="S18" s="22">
        <v>17.264860153198242</v>
      </c>
      <c r="T18" s="23" t="s">
        <v>133</v>
      </c>
      <c r="U18" s="23">
        <f t="shared" si="1"/>
        <v>1363.5173291980266</v>
      </c>
      <c r="W18" s="3" t="s">
        <v>71</v>
      </c>
      <c r="X18" s="5">
        <f ca="1">MAX(F45:F51)</f>
        <v>27.950476731394538</v>
      </c>
      <c r="Z18" s="3" t="s">
        <v>72</v>
      </c>
      <c r="AA18" s="5">
        <f ca="1">AA15+AA8</f>
        <v>-2283.6064463772241</v>
      </c>
      <c r="AC18" s="23">
        <v>150</v>
      </c>
      <c r="AD18" s="23">
        <f t="array" ref="AD18">XCOMPRESSL($B$4,$B$5,$B$6,$B$15,$B$16,$B$17,$B$11,$B$12,$B$13,$B$7,$B$8,AC18,$AD$1,$B$3,$B$14)</f>
        <v>45.68118092043872</v>
      </c>
      <c r="AE18" s="23">
        <f t="array" ref="AE18:AG18">FLEXCOMPBIAXL($B$4,$B$5,$B$6,$B$15,$B$16,$B$17,$B$11,$B$12,$B$13,$B$7,$B$8,AC18,AD18,$B$3,$B$14)</f>
        <v>-220.52486900379967</v>
      </c>
      <c r="AF18" s="23">
        <v>-41.12578777063279</v>
      </c>
      <c r="AG18" s="23">
        <v>-1679.4861946470312</v>
      </c>
      <c r="AI18" s="23">
        <v>150</v>
      </c>
      <c r="AJ18" s="23">
        <f t="shared" si="0"/>
        <v>32.88711044512192</v>
      </c>
      <c r="AK18" s="23">
        <f t="array" ref="AK18:AM18">FLEXCOMPBIAXL($B$4,$B$5,$B$6,$B$15,$B$16,$B$17,$B$11,$B$12,$B$13,$B$7,$B$8,AI18,AJ18,$B$3,$B$14)</f>
        <v>-112.75218498117783</v>
      </c>
      <c r="AL18" s="23">
        <v>331.37337913694677</v>
      </c>
      <c r="AM18" s="23">
        <v>-2009.6126970157218</v>
      </c>
      <c r="AO18" s="23">
        <v>127.98850111553024</v>
      </c>
      <c r="AP18" s="23">
        <v>-215.24392872262834</v>
      </c>
      <c r="AQ18" s="23">
        <v>-33.35383929052562</v>
      </c>
      <c r="AR18" s="23">
        <f t="shared" si="2"/>
        <v>-184.02625773306039</v>
      </c>
    </row>
    <row r="19" spans="1:44" x14ac:dyDescent="0.2">
      <c r="A19" s="24"/>
      <c r="B19" s="13"/>
      <c r="C19" s="13"/>
      <c r="D19" s="13"/>
      <c r="E19" s="13"/>
      <c r="F19" s="13"/>
      <c r="G19" s="13"/>
      <c r="H19" s="13"/>
      <c r="I19" s="24"/>
      <c r="J19" s="13"/>
      <c r="K19" s="13"/>
      <c r="L19" s="13"/>
      <c r="M19" s="13"/>
      <c r="N19" s="13"/>
      <c r="O19" s="13"/>
      <c r="P19" s="14"/>
      <c r="Q19" s="22">
        <v>-193.02825927734375</v>
      </c>
      <c r="R19" s="22">
        <v>1493.7489013671875</v>
      </c>
      <c r="S19" s="22">
        <v>10.07670783996582</v>
      </c>
      <c r="T19" s="23" t="s">
        <v>198</v>
      </c>
      <c r="U19" s="23">
        <f t="shared" si="1"/>
        <v>1365.4987873012724</v>
      </c>
      <c r="W19" s="3" t="s">
        <v>17</v>
      </c>
      <c r="X19" s="5">
        <f ca="1">X18-MIN(F45:F51)</f>
        <v>55.82340371711576</v>
      </c>
      <c r="Z19" s="3" t="s">
        <v>73</v>
      </c>
      <c r="AA19" s="5">
        <f ca="1">AA16+AA9</f>
        <v>-1024.130261329349</v>
      </c>
      <c r="AC19" s="23">
        <v>160</v>
      </c>
      <c r="AD19" s="23">
        <f t="array" ref="AD19">XCOMPRESSL($B$4,$B$5,$B$6,$B$15,$B$16,$B$17,$B$11,$B$12,$B$13,$B$7,$B$8,AC19,$AD$1,$B$3,$B$14)</f>
        <v>43.916961672347711</v>
      </c>
      <c r="AE19" s="23">
        <f t="array" ref="AE19:AG19">FLEXCOMPBIAXL($B$4,$B$5,$B$6,$B$15,$B$16,$B$17,$B$11,$B$12,$B$13,$B$7,$B$8,AC19,AD19,$B$3,$B$14)</f>
        <v>-220.53087543232664</v>
      </c>
      <c r="AF19" s="23">
        <v>-404.24735002526802</v>
      </c>
      <c r="AG19" s="23">
        <v>-1925.869317332613</v>
      </c>
      <c r="AI19" s="23">
        <v>160</v>
      </c>
      <c r="AJ19" s="23">
        <f t="shared" si="0"/>
        <v>29.485382822564233</v>
      </c>
      <c r="AK19" s="23">
        <f t="array" ref="AK19:AM19">FLEXCOMPBIAXL($B$4,$B$5,$B$6,$B$15,$B$16,$B$17,$B$11,$B$12,$B$13,$B$7,$B$8,AI19,AJ19,$B$3,$B$14)</f>
        <v>-112.78449203577875</v>
      </c>
      <c r="AL19" s="23">
        <v>-105.45434770925959</v>
      </c>
      <c r="AM19" s="23">
        <v>-2479.312498227232</v>
      </c>
      <c r="AO19" s="23">
        <v>93.010546165448076</v>
      </c>
      <c r="AP19" s="23">
        <v>-890.22262118885715</v>
      </c>
      <c r="AQ19" s="23">
        <v>-87.830690677049049</v>
      </c>
      <c r="AR19" s="23">
        <f t="shared" si="2"/>
        <v>-781.11999970545935</v>
      </c>
    </row>
    <row r="20" spans="1:44" x14ac:dyDescent="0.2">
      <c r="A20" s="24"/>
      <c r="B20" s="13"/>
      <c r="C20" s="13"/>
      <c r="D20" s="13"/>
      <c r="E20" s="13"/>
      <c r="F20" s="13"/>
      <c r="G20" s="13"/>
      <c r="H20" s="13"/>
      <c r="I20" s="29" t="s">
        <v>74</v>
      </c>
      <c r="J20" s="30"/>
      <c r="K20" s="31" t="s">
        <v>121</v>
      </c>
      <c r="L20" s="32"/>
      <c r="M20" s="33"/>
      <c r="N20" s="13"/>
      <c r="O20" s="13"/>
      <c r="P20" s="14"/>
      <c r="Q20" s="22">
        <v>-193.18208312988281</v>
      </c>
      <c r="R20" s="22">
        <v>1493.212646484375</v>
      </c>
      <c r="S20" s="22">
        <v>20.825349807739258</v>
      </c>
      <c r="T20" s="23" t="s">
        <v>203</v>
      </c>
      <c r="U20" s="23">
        <f t="shared" si="1"/>
        <v>1360.7155722730852</v>
      </c>
      <c r="W20" s="3" t="s">
        <v>76</v>
      </c>
      <c r="X20" s="5">
        <f ca="1">MIN(IF(B10&lt;=0,0,X17*B10),X19)</f>
        <v>34.177842818577588</v>
      </c>
      <c r="Z20" s="3" t="s">
        <v>77</v>
      </c>
      <c r="AA20" s="5">
        <f ca="1">-AA18*COS(X6)-AA19*SIN(X6)</f>
        <v>27.194677937492543</v>
      </c>
      <c r="AC20" s="23">
        <v>170</v>
      </c>
      <c r="AD20" s="23">
        <f t="array" ref="AD20">XCOMPRESSL($B$4,$B$5,$B$6,$B$15,$B$16,$B$17,$B$11,$B$12,$B$13,$B$7,$B$8,AC20,$AD$1,$B$3,$B$14)</f>
        <v>41.74114657587991</v>
      </c>
      <c r="AE20" s="23">
        <f t="array" ref="AE20:AG20">FLEXCOMPBIAXL($B$4,$B$5,$B$6,$B$15,$B$16,$B$17,$B$11,$B$12,$B$13,$B$7,$B$8,AC20,AD20,$B$3,$B$14)</f>
        <v>-220.52604369659801</v>
      </c>
      <c r="AF20" s="23">
        <v>-642.07799290181913</v>
      </c>
      <c r="AG20" s="23">
        <v>-2074.0344269386514</v>
      </c>
      <c r="AI20" s="23">
        <v>170</v>
      </c>
      <c r="AJ20" s="23">
        <f t="shared" si="0"/>
        <v>24.258018604837453</v>
      </c>
      <c r="AK20" s="23">
        <f t="array" ref="AK20:AM20">FLEXCOMPBIAXL($B$4,$B$5,$B$6,$B$15,$B$16,$B$17,$B$11,$B$12,$B$13,$B$7,$B$8,AI20,AJ20,$B$3,$B$14)</f>
        <v>-112.75906847905938</v>
      </c>
      <c r="AL20" s="23">
        <v>-549.21286376043645</v>
      </c>
      <c r="AM20" s="23">
        <v>-2996.7298357624272</v>
      </c>
      <c r="AO20" s="23">
        <v>57.970094752485423</v>
      </c>
      <c r="AP20" s="23">
        <v>-1524.9926377291026</v>
      </c>
      <c r="AQ20" s="23">
        <v>-249.05642026570152</v>
      </c>
      <c r="AR20" s="23">
        <f t="shared" si="2"/>
        <v>-1298.7278985697442</v>
      </c>
    </row>
    <row r="21" spans="1:44" x14ac:dyDescent="0.2">
      <c r="A21" s="34"/>
      <c r="B21" s="35"/>
      <c r="C21" s="35"/>
      <c r="D21" s="35"/>
      <c r="E21" s="35"/>
      <c r="F21" s="35"/>
      <c r="G21" s="35"/>
      <c r="H21" s="35"/>
      <c r="I21" s="29" t="s">
        <v>78</v>
      </c>
      <c r="J21" s="30"/>
      <c r="K21" s="36">
        <v>20</v>
      </c>
      <c r="L21" s="35"/>
      <c r="M21" s="35"/>
      <c r="N21" s="35"/>
      <c r="O21" s="35"/>
      <c r="P21" s="37"/>
      <c r="Q21" s="22">
        <v>-192.88658142089844</v>
      </c>
      <c r="R21" s="22">
        <v>1492.2435302734375</v>
      </c>
      <c r="S21" s="22">
        <v>13.63719654083252</v>
      </c>
      <c r="T21" s="23" t="s">
        <v>134</v>
      </c>
      <c r="U21" s="23">
        <f t="shared" si="1"/>
        <v>1362.6970307570998</v>
      </c>
      <c r="W21" s="3" t="s">
        <v>79</v>
      </c>
      <c r="X21" s="5">
        <f ca="1">X18-X20</f>
        <v>-6.2273660871830501</v>
      </c>
      <c r="Z21" s="3" t="s">
        <v>80</v>
      </c>
      <c r="AA21" s="5">
        <f ca="1">-AA18*SIN(X6)+AA19*COS(X6)</f>
        <v>2502.5909860778311</v>
      </c>
      <c r="AC21" s="23">
        <v>180</v>
      </c>
      <c r="AD21" s="23">
        <f t="array" ref="AD21">XCOMPRESSL($B$4,$B$5,$B$6,$B$15,$B$16,$B$17,$B$11,$B$12,$B$13,$B$7,$B$8,AC21,$AD$1,$B$3,$B$14)</f>
        <v>39.003372192382813</v>
      </c>
      <c r="AE21" s="23">
        <f t="array" ref="AE21:AG21">FLEXCOMPBIAXL($B$4,$B$5,$B$6,$B$15,$B$16,$B$17,$B$11,$B$12,$B$13,$B$7,$B$8,AC21,AD21,$B$3,$B$14)</f>
        <v>-220.5287149106866</v>
      </c>
      <c r="AF21" s="23">
        <v>-769.45107034911666</v>
      </c>
      <c r="AG21" s="23">
        <v>-2143.5211769563407</v>
      </c>
      <c r="AI21" s="23">
        <v>180</v>
      </c>
      <c r="AJ21" s="23">
        <f t="shared" si="0"/>
        <v>17.935256958007813</v>
      </c>
      <c r="AK21" s="23">
        <f t="array" ref="AK21:AM21">FLEXCOMPBIAXL($B$4,$B$5,$B$6,$B$15,$B$16,$B$17,$B$11,$B$12,$B$13,$B$7,$B$8,AI21,AJ21,$B$3,$B$14)</f>
        <v>-112.78961427215179</v>
      </c>
      <c r="AL21" s="23">
        <v>-1114.5900059482319</v>
      </c>
      <c r="AM21" s="23">
        <v>-3573.4067163692102</v>
      </c>
      <c r="AO21" s="23">
        <v>10.939591080685744</v>
      </c>
      <c r="AP21" s="23">
        <v>-2190.0845267762597</v>
      </c>
      <c r="AQ21" s="23">
        <v>-298.13953014019927</v>
      </c>
      <c r="AR21" s="23">
        <f t="shared" si="2"/>
        <v>-1888.9106005824033</v>
      </c>
    </row>
    <row r="22" spans="1:44" x14ac:dyDescent="0.2">
      <c r="A22" s="24"/>
      <c r="B22" s="13"/>
      <c r="C22" s="13"/>
      <c r="D22" s="13"/>
      <c r="E22" s="13"/>
      <c r="F22" s="13"/>
      <c r="G22" s="13"/>
      <c r="H22" s="13"/>
      <c r="I22" s="24"/>
      <c r="J22" s="13"/>
      <c r="K22" s="13"/>
      <c r="L22" s="13"/>
      <c r="M22" s="13"/>
      <c r="N22" s="13"/>
      <c r="O22" s="13"/>
      <c r="P22" s="14"/>
      <c r="Q22" s="22">
        <v>-193.33409118652344</v>
      </c>
      <c r="R22" s="22">
        <v>1490.27392578125</v>
      </c>
      <c r="S22" s="22">
        <v>14.868695259094238</v>
      </c>
      <c r="T22" s="23" t="s">
        <v>135</v>
      </c>
      <c r="U22" s="23">
        <f t="shared" si="1"/>
        <v>1360.3995329334177</v>
      </c>
      <c r="Z22" s="3" t="s">
        <v>81</v>
      </c>
      <c r="AA22" s="19">
        <f ca="1">MAX($AA$6*AA17,AA10)</f>
        <v>-200.92582382955609</v>
      </c>
      <c r="AC22" s="23">
        <v>190</v>
      </c>
      <c r="AD22" s="23">
        <f t="array" ref="AD22">XCOMPRESSL($B$4,$B$5,$B$6,$B$15,$B$16,$B$17,$B$11,$B$12,$B$13,$B$7,$B$8,AC22,$AD$1,$B$3,$B$14)</f>
        <v>45.67270240457654</v>
      </c>
      <c r="AE22" s="23">
        <f t="array" ref="AE22:AG22">FLEXCOMPBIAXL($B$4,$B$5,$B$6,$B$15,$B$16,$B$17,$B$11,$B$12,$B$13,$B$7,$B$8,AC22,AD22,$B$3,$B$14)</f>
        <v>-220.53478777449098</v>
      </c>
      <c r="AF22" s="23">
        <v>-842.546713204394</v>
      </c>
      <c r="AG22" s="23">
        <v>-2106.8395223011044</v>
      </c>
      <c r="AI22" s="23">
        <v>190</v>
      </c>
      <c r="AJ22" s="23">
        <f t="shared" si="0"/>
        <v>23.796756255266271</v>
      </c>
      <c r="AK22" s="23">
        <f t="array" ref="AK22:AM22">FLEXCOMPBIAXL($B$4,$B$5,$B$6,$B$15,$B$16,$B$17,$B$11,$B$12,$B$13,$B$7,$B$8,AI22,AJ22,$B$3,$B$14)</f>
        <v>-112.77979722714579</v>
      </c>
      <c r="AL22" s="23">
        <v>-1525.4388526688692</v>
      </c>
      <c r="AM22" s="23">
        <v>-3260.417359286263</v>
      </c>
      <c r="AO22" s="23">
        <v>-29.192407937230712</v>
      </c>
      <c r="AP22" s="23">
        <v>-2172.2500812043768</v>
      </c>
      <c r="AQ22" s="23">
        <v>-131.99266225421005</v>
      </c>
      <c r="AR22" s="23">
        <f t="shared" si="2"/>
        <v>-1938.8959913322321</v>
      </c>
    </row>
    <row r="23" spans="1:44" x14ac:dyDescent="0.2">
      <c r="A23" s="24"/>
      <c r="B23" s="13"/>
      <c r="C23" s="13"/>
      <c r="D23" s="13"/>
      <c r="E23" s="13"/>
      <c r="F23" s="13"/>
      <c r="G23" s="13"/>
      <c r="H23" s="13"/>
      <c r="I23" s="24"/>
      <c r="J23" s="13"/>
      <c r="K23" s="13"/>
      <c r="L23" s="13"/>
      <c r="M23" s="13"/>
      <c r="N23" s="13"/>
      <c r="O23" s="13"/>
      <c r="P23" s="14"/>
      <c r="Q23" s="22">
        <v>-193.28602600097656</v>
      </c>
      <c r="R23" s="22">
        <v>1490.1380615234375</v>
      </c>
      <c r="S23" s="22">
        <v>9.4210004806518555</v>
      </c>
      <c r="T23" s="23" t="s">
        <v>196</v>
      </c>
      <c r="U23" s="23">
        <f t="shared" si="1"/>
        <v>1362.4500420986956</v>
      </c>
      <c r="Z23" s="3" t="s">
        <v>82</v>
      </c>
      <c r="AA23" s="19">
        <f ca="1">$AA$6*AA20</f>
        <v>17.676540659370154</v>
      </c>
      <c r="AC23" s="23">
        <v>200</v>
      </c>
      <c r="AD23" s="23">
        <f t="array" ref="AD23">XCOMPRESSL($B$4,$B$5,$B$6,$B$15,$B$16,$B$17,$B$11,$B$12,$B$13,$B$7,$B$8,AC23,$AD$1,$B$3,$B$14)</f>
        <v>51.291049909887178</v>
      </c>
      <c r="AE23" s="23">
        <f t="array" ref="AE23:AG23">FLEXCOMPBIAXL($B$4,$B$5,$B$6,$B$15,$B$16,$B$17,$B$11,$B$12,$B$13,$B$7,$B$8,AC23,AD23,$B$3,$B$14)</f>
        <v>-220.53926808031164</v>
      </c>
      <c r="AF23" s="23">
        <v>-911.0872579416498</v>
      </c>
      <c r="AG23" s="23">
        <v>-2051.2557049548118</v>
      </c>
      <c r="AI23" s="23">
        <v>200</v>
      </c>
      <c r="AJ23" s="23">
        <f t="shared" si="0"/>
        <v>28.916485216953518</v>
      </c>
      <c r="AK23" s="23">
        <f t="array" ref="AK23:AM23">FLEXCOMPBIAXL($B$4,$B$5,$B$6,$B$15,$B$16,$B$17,$B$11,$B$12,$B$13,$B$7,$B$8,AI23,AJ23,$B$3,$B$14)</f>
        <v>-112.75106698290843</v>
      </c>
      <c r="AL23" s="23">
        <v>-1807.8446460316816</v>
      </c>
      <c r="AM23" s="23">
        <v>-2891.8155184199763</v>
      </c>
      <c r="AO23" s="23">
        <v>-80.369557523414301</v>
      </c>
      <c r="AP23" s="23">
        <v>-2006.5342027579734</v>
      </c>
      <c r="AQ23" s="23">
        <v>86.049669200750586</v>
      </c>
      <c r="AR23" s="23">
        <f t="shared" si="2"/>
        <v>-1874.0184771794879</v>
      </c>
    </row>
    <row r="24" spans="1:44" x14ac:dyDescent="0.2">
      <c r="A24" s="24"/>
      <c r="B24" s="13"/>
      <c r="C24" s="13"/>
      <c r="D24" s="13"/>
      <c r="E24" s="13"/>
      <c r="F24" s="13"/>
      <c r="G24" s="13"/>
      <c r="H24" s="13"/>
      <c r="I24" s="24"/>
      <c r="J24" s="13"/>
      <c r="K24" s="13"/>
      <c r="L24" s="13"/>
      <c r="M24" s="13"/>
      <c r="N24" s="13"/>
      <c r="O24" s="13"/>
      <c r="P24" s="14"/>
      <c r="Q24" s="22">
        <v>-192.93417358398438</v>
      </c>
      <c r="R24" s="22">
        <v>1488.8291015625</v>
      </c>
      <c r="S24" s="22">
        <v>5.1829361915588379</v>
      </c>
      <c r="T24" s="23" t="s">
        <v>199</v>
      </c>
      <c r="U24" s="23">
        <f t="shared" si="1"/>
        <v>1362.9420522180583</v>
      </c>
      <c r="Z24" s="3" t="s">
        <v>83</v>
      </c>
      <c r="AA24" s="19">
        <f ca="1">$AA$6*AA21</f>
        <v>1626.6841409505903</v>
      </c>
      <c r="AC24" s="23">
        <v>210</v>
      </c>
      <c r="AD24" s="23">
        <f t="array" ref="AD24">XCOMPRESSL($B$4,$B$5,$B$6,$B$15,$B$16,$B$17,$B$11,$B$12,$B$13,$B$7,$B$8,AC24,$AD$1,$B$3,$B$14)</f>
        <v>55.46988009132113</v>
      </c>
      <c r="AE24" s="23">
        <f t="array" ref="AE24:AG24">FLEXCOMPBIAXL($B$4,$B$5,$B$6,$B$15,$B$16,$B$17,$B$11,$B$12,$B$13,$B$7,$B$8,AC24,AD24,$B$3,$B$14)</f>
        <v>-220.53655882049731</v>
      </c>
      <c r="AF24" s="23">
        <v>-982.06446942704827</v>
      </c>
      <c r="AG24" s="23">
        <v>-1974.4211867549916</v>
      </c>
      <c r="AI24" s="23">
        <v>210</v>
      </c>
      <c r="AJ24" s="23">
        <f t="shared" si="0"/>
        <v>33.719028626370005</v>
      </c>
      <c r="AK24" s="23">
        <f t="array" ref="AK24:AM24">FLEXCOMPBIAXL($B$4,$B$5,$B$6,$B$15,$B$16,$B$17,$B$11,$B$12,$B$13,$B$7,$B$8,AI24,AJ24,$B$3,$B$14)</f>
        <v>-112.75442673049558</v>
      </c>
      <c r="AL24" s="23">
        <v>-1892.4011143221137</v>
      </c>
      <c r="AM24" s="23">
        <v>-2571.3674305746817</v>
      </c>
      <c r="AO24" s="23">
        <v>-102.55205294417445</v>
      </c>
      <c r="AP24" s="23">
        <v>-1872.5923830439085</v>
      </c>
      <c r="AQ24" s="23">
        <v>182.90848380970806</v>
      </c>
      <c r="AR24" s="23">
        <f t="shared" si="2"/>
        <v>-1789.8882012736171</v>
      </c>
    </row>
    <row r="25" spans="1:44" x14ac:dyDescent="0.2">
      <c r="A25" s="24"/>
      <c r="B25" s="13"/>
      <c r="C25" s="13"/>
      <c r="D25" s="13"/>
      <c r="E25" s="13"/>
      <c r="F25" s="13"/>
      <c r="G25" s="13"/>
      <c r="H25" s="13"/>
      <c r="I25" s="24"/>
      <c r="J25" s="13"/>
      <c r="K25" s="13"/>
      <c r="L25" s="13"/>
      <c r="M25" s="13"/>
      <c r="N25" s="13"/>
      <c r="O25" s="13"/>
      <c r="P25" s="14"/>
      <c r="Q25" s="22">
        <v>-193.12751770019531</v>
      </c>
      <c r="R25" s="22">
        <v>1487.79052734375</v>
      </c>
      <c r="S25" s="22">
        <v>5.6043000221252441</v>
      </c>
      <c r="T25" s="23" t="s">
        <v>136</v>
      </c>
      <c r="U25" s="23">
        <f t="shared" si="1"/>
        <v>1361.82161460668</v>
      </c>
      <c r="AC25" s="23">
        <v>220</v>
      </c>
      <c r="AD25" s="23">
        <f t="array" ref="AD25">XCOMPRESSL($B$4,$B$5,$B$6,$B$15,$B$16,$B$17,$B$11,$B$12,$B$13,$B$7,$B$8,AC25,$AD$1,$B$3,$B$14)</f>
        <v>58.089461160848501</v>
      </c>
      <c r="AE25" s="23">
        <f t="array" ref="AE25:AG25">FLEXCOMPBIAXL($B$4,$B$5,$B$6,$B$15,$B$16,$B$17,$B$11,$B$12,$B$13,$B$7,$B$8,AC25,AD25,$B$3,$B$14)</f>
        <v>-220.52416455310225</v>
      </c>
      <c r="AF25" s="23">
        <v>-1046.8566801707641</v>
      </c>
      <c r="AG25" s="23">
        <v>-1876.727482772314</v>
      </c>
      <c r="AI25" s="23">
        <v>220</v>
      </c>
      <c r="AJ25" s="23">
        <f t="shared" si="0"/>
        <v>37.819291187519269</v>
      </c>
      <c r="AK25" s="23">
        <f t="array" ref="AK25:AM25">FLEXCOMPBIAXL($B$4,$B$5,$B$6,$B$15,$B$16,$B$17,$B$11,$B$12,$B$13,$B$7,$B$8,AI25,AJ25,$B$3,$B$14)</f>
        <v>-112.76461577473887</v>
      </c>
      <c r="AL25" s="23">
        <v>-1896.2777427280155</v>
      </c>
      <c r="AM25" s="23">
        <v>-2252.0054877019124</v>
      </c>
      <c r="AO25" s="23">
        <v>-135.98178625121665</v>
      </c>
      <c r="AP25" s="23">
        <v>-1784.1590962016176</v>
      </c>
      <c r="AQ25" s="23">
        <v>261.8606773725075</v>
      </c>
      <c r="AR25" s="23">
        <f t="shared" si="2"/>
        <v>-1740.3322765439814</v>
      </c>
    </row>
    <row r="26" spans="1:44" x14ac:dyDescent="0.2">
      <c r="A26" s="24"/>
      <c r="B26" s="13"/>
      <c r="C26" s="13"/>
      <c r="D26" s="13"/>
      <c r="E26" s="13"/>
      <c r="F26" s="13"/>
      <c r="G26" s="13"/>
      <c r="H26" s="13"/>
      <c r="I26" s="24"/>
      <c r="J26" s="13"/>
      <c r="K26" s="13"/>
      <c r="L26" s="13"/>
      <c r="M26" s="13"/>
      <c r="N26" s="13"/>
      <c r="O26" s="13"/>
      <c r="P26" s="14"/>
      <c r="Q26" s="22">
        <v>-193.22996520996094</v>
      </c>
      <c r="R26" s="22">
        <v>1487.433349609375</v>
      </c>
      <c r="S26" s="22">
        <v>12.763696670532227</v>
      </c>
      <c r="T26" s="23" t="s">
        <v>139</v>
      </c>
      <c r="U26" s="23">
        <f t="shared" si="1"/>
        <v>1358.6356442248739</v>
      </c>
      <c r="AC26" s="23">
        <v>230</v>
      </c>
      <c r="AD26" s="23">
        <f t="array" ref="AD26">XCOMPRESSL($B$4,$B$5,$B$6,$B$15,$B$16,$B$17,$B$11,$B$12,$B$13,$B$7,$B$8,AC26,$AD$1,$B$3,$B$14)</f>
        <v>58.962869738032808</v>
      </c>
      <c r="AE26" s="23">
        <f t="array" ref="AE26:AG26">FLEXCOMPBIAXL($B$4,$B$5,$B$6,$B$15,$B$16,$B$17,$B$11,$B$12,$B$13,$B$7,$B$8,AC26,AD26,$B$3,$B$14)</f>
        <v>-220.55402785508966</v>
      </c>
      <c r="AF26" s="23">
        <v>-1114.1326990536306</v>
      </c>
      <c r="AG26" s="23">
        <v>-1752.7396241089039</v>
      </c>
      <c r="AI26" s="23">
        <v>230</v>
      </c>
      <c r="AJ26" s="23">
        <f t="shared" si="0"/>
        <v>40.715320930936365</v>
      </c>
      <c r="AK26" s="23">
        <f t="array" ref="AK26:AM26">FLEXCOMPBIAXL($B$4,$B$5,$B$6,$B$15,$B$16,$B$17,$B$11,$B$12,$B$13,$B$7,$B$8,AI26,AJ26,$B$3,$B$14)</f>
        <v>-112.76838078932877</v>
      </c>
      <c r="AL26" s="23">
        <v>-1899.3587397283629</v>
      </c>
      <c r="AM26" s="23">
        <v>-1979.3282601286937</v>
      </c>
      <c r="AO26" s="23">
        <v>-173.538014591316</v>
      </c>
      <c r="AP26" s="23">
        <v>-1615.6131348491547</v>
      </c>
      <c r="AQ26" s="23">
        <v>355.07265384272853</v>
      </c>
      <c r="AR26" s="23">
        <f t="shared" si="2"/>
        <v>-1623.0196389590049</v>
      </c>
    </row>
    <row r="27" spans="1:44" x14ac:dyDescent="0.2">
      <c r="A27" s="24"/>
      <c r="B27" s="13"/>
      <c r="C27" s="13"/>
      <c r="D27" s="13"/>
      <c r="E27" s="13"/>
      <c r="F27" s="13"/>
      <c r="G27" s="13"/>
      <c r="H27" s="13"/>
      <c r="I27" s="24"/>
      <c r="J27" s="13"/>
      <c r="K27" s="13"/>
      <c r="L27" s="13"/>
      <c r="M27" s="13"/>
      <c r="N27" s="13"/>
      <c r="O27" s="13"/>
      <c r="P27" s="14"/>
      <c r="Q27" s="22">
        <v>-192.92535400390625</v>
      </c>
      <c r="R27" s="22">
        <v>1486.22900390625</v>
      </c>
      <c r="S27" s="22">
        <v>5.4095206260681152</v>
      </c>
      <c r="T27" s="23" t="s">
        <v>200</v>
      </c>
      <c r="U27" s="23">
        <f t="shared" si="1"/>
        <v>1360.4677230520226</v>
      </c>
      <c r="AC27" s="23">
        <v>240</v>
      </c>
      <c r="AD27" s="23">
        <f t="array" ref="AD27">XCOMPRESSL($B$4,$B$5,$B$6,$B$15,$B$16,$B$17,$B$11,$B$12,$B$13,$B$7,$B$8,AC27,$AD$1,$B$3,$B$14)</f>
        <v>57.967891762437169</v>
      </c>
      <c r="AE27" s="23">
        <f t="array" ref="AE27:AG27">FLEXCOMPBIAXL($B$4,$B$5,$B$6,$B$15,$B$16,$B$17,$B$11,$B$12,$B$13,$B$7,$B$8,AC27,AD27,$B$3,$B$14)</f>
        <v>-220.53410505631248</v>
      </c>
      <c r="AF27" s="23">
        <v>-1210.1124455581073</v>
      </c>
      <c r="AG27" s="23">
        <v>-1563.3780095333505</v>
      </c>
      <c r="AI27" s="23">
        <v>240</v>
      </c>
      <c r="AJ27" s="23">
        <f t="shared" si="0"/>
        <v>41.412736361136552</v>
      </c>
      <c r="AK27" s="23">
        <f t="array" ref="AK27:AM27">FLEXCOMPBIAXL($B$4,$B$5,$B$6,$B$15,$B$16,$B$17,$B$11,$B$12,$B$13,$B$7,$B$8,AI27,AJ27,$B$3,$B$14)</f>
        <v>-112.75023819338573</v>
      </c>
      <c r="AL27" s="23">
        <v>-1960.5435853832496</v>
      </c>
      <c r="AM27" s="23">
        <v>-1782.3782842234871</v>
      </c>
      <c r="AO27" s="23">
        <v>-217.2957360607966</v>
      </c>
      <c r="AP27" s="23">
        <v>-1280.3323509675176</v>
      </c>
      <c r="AQ27" s="23">
        <v>485.30391745098979</v>
      </c>
      <c r="AR27" s="23">
        <f t="shared" si="2"/>
        <v>-1367.6191010679581</v>
      </c>
    </row>
    <row r="28" spans="1:44" x14ac:dyDescent="0.2">
      <c r="A28" s="24"/>
      <c r="B28" s="13"/>
      <c r="C28" s="13"/>
      <c r="D28" s="13"/>
      <c r="E28" s="13"/>
      <c r="F28" s="13"/>
      <c r="G28" s="13"/>
      <c r="H28" s="13"/>
      <c r="I28" s="24"/>
      <c r="J28" s="13"/>
      <c r="K28" s="13"/>
      <c r="L28" s="13"/>
      <c r="M28" s="13"/>
      <c r="N28" s="13"/>
      <c r="O28" s="13"/>
      <c r="P28" s="14"/>
      <c r="Q28" s="22">
        <v>-193.08421325683594</v>
      </c>
      <c r="R28" s="22">
        <v>1485.0576171875</v>
      </c>
      <c r="S28" s="22">
        <v>3.8880734443664551</v>
      </c>
      <c r="T28" s="23" t="s">
        <v>137</v>
      </c>
      <c r="U28" s="23">
        <f t="shared" si="1"/>
        <v>1360.0012148348412</v>
      </c>
      <c r="AC28" s="23">
        <v>250</v>
      </c>
      <c r="AD28" s="23">
        <f t="array" ref="AD28">XCOMPRESSL($B$4,$B$5,$B$6,$B$15,$B$16,$B$17,$B$11,$B$12,$B$13,$B$7,$B$8,AC28,$AD$1,$B$3,$B$14)</f>
        <v>55.640650128290488</v>
      </c>
      <c r="AE28" s="23">
        <f t="array" ref="AE28:AG28">FLEXCOMPBIAXL($B$4,$B$5,$B$6,$B$15,$B$16,$B$17,$B$11,$B$12,$B$13,$B$7,$B$8,AC28,AD28,$B$3,$B$14)</f>
        <v>-220.53557805268019</v>
      </c>
      <c r="AF28" s="23">
        <v>-1325.0779966008329</v>
      </c>
      <c r="AG28" s="23">
        <v>-1272.689188043993</v>
      </c>
      <c r="AI28" s="23">
        <v>250</v>
      </c>
      <c r="AJ28" s="23">
        <f t="shared" si="0"/>
        <v>40.701676203082314</v>
      </c>
      <c r="AK28" s="23">
        <f t="array" ref="AK28:AM28">FLEXCOMPBIAXL($B$4,$B$5,$B$6,$B$15,$B$16,$B$17,$B$11,$B$12,$B$13,$B$7,$B$8,AI28,AJ28,$B$3,$B$14)</f>
        <v>-112.76530380595375</v>
      </c>
      <c r="AL28" s="23">
        <v>-1993.6926165833424</v>
      </c>
      <c r="AM28" s="23">
        <v>-1591.924793990027</v>
      </c>
      <c r="AO28" s="23">
        <v>-262.52857832743905</v>
      </c>
      <c r="AP28" s="23">
        <v>-834.26769292270194</v>
      </c>
      <c r="AQ28" s="23">
        <v>435.99284299010679</v>
      </c>
      <c r="AR28" s="23">
        <f t="shared" si="2"/>
        <v>-938.96298354294163</v>
      </c>
    </row>
    <row r="29" spans="1:44" x14ac:dyDescent="0.2">
      <c r="A29" s="24"/>
      <c r="B29" s="13"/>
      <c r="C29" s="13"/>
      <c r="D29" s="13"/>
      <c r="E29" s="13"/>
      <c r="F29" s="13"/>
      <c r="G29" s="13"/>
      <c r="H29" s="13"/>
      <c r="I29" s="24"/>
      <c r="J29" s="13"/>
      <c r="K29" s="13"/>
      <c r="L29" s="13"/>
      <c r="M29" s="13"/>
      <c r="N29" s="13"/>
      <c r="O29" s="13"/>
      <c r="P29" s="14"/>
      <c r="Q29" s="22">
        <v>-193.27755737304688</v>
      </c>
      <c r="R29" s="22">
        <v>1484.0189208984375</v>
      </c>
      <c r="S29" s="22">
        <v>4.3094367980957031</v>
      </c>
      <c r="T29" s="23" t="s">
        <v>195</v>
      </c>
      <c r="U29" s="23">
        <f t="shared" si="1"/>
        <v>1358.8806654954478</v>
      </c>
      <c r="AC29" s="23">
        <v>260</v>
      </c>
      <c r="AD29" s="23">
        <f t="array" ref="AD29">XCOMPRESSL($B$4,$B$5,$B$6,$B$15,$B$16,$B$17,$B$11,$B$12,$B$13,$B$7,$B$8,AC29,$AD$1,$B$3,$B$14)</f>
        <v>52.187631256741511</v>
      </c>
      <c r="AE29" s="23">
        <f t="array" ref="AE29:AG29">FLEXCOMPBIAXL($B$4,$B$5,$B$6,$B$15,$B$16,$B$17,$B$11,$B$12,$B$13,$B$7,$B$8,AC29,AD29,$B$3,$B$14)</f>
        <v>-220.55061239442574</v>
      </c>
      <c r="AF29" s="23">
        <v>-1419.3382963020576</v>
      </c>
      <c r="AG29" s="23">
        <v>-896.00125954093164</v>
      </c>
      <c r="AI29" s="23">
        <v>260</v>
      </c>
      <c r="AJ29" s="23">
        <f t="shared" si="0"/>
        <v>38.300832256236845</v>
      </c>
      <c r="AK29" s="23">
        <f t="array" ref="AK29:AM29">FLEXCOMPBIAXL($B$4,$B$5,$B$6,$B$15,$B$16,$B$17,$B$11,$B$12,$B$13,$B$7,$B$8,AI29,AJ29,$B$3,$B$14)</f>
        <v>-112.75354181354206</v>
      </c>
      <c r="AL29" s="23">
        <v>-2029.3474174035571</v>
      </c>
      <c r="AM29" s="23">
        <v>-1366.1837860749324</v>
      </c>
      <c r="AO29" s="23">
        <v>-264.4756192782242</v>
      </c>
      <c r="AP29" s="23">
        <v>-542.37794062821968</v>
      </c>
      <c r="AQ29" s="23">
        <v>293.63641093821093</v>
      </c>
      <c r="AR29" s="23">
        <f t="shared" si="2"/>
        <v>-614.51013433185267</v>
      </c>
    </row>
    <row r="30" spans="1:44" x14ac:dyDescent="0.2">
      <c r="A30" s="24"/>
      <c r="B30" s="13"/>
      <c r="C30" s="13"/>
      <c r="D30" s="13"/>
      <c r="E30" s="13"/>
      <c r="F30" s="13"/>
      <c r="G30" s="13"/>
      <c r="H30" s="13"/>
      <c r="I30" s="24"/>
      <c r="J30" s="13"/>
      <c r="K30" s="13"/>
      <c r="L30" s="13"/>
      <c r="M30" s="13"/>
      <c r="N30" s="13"/>
      <c r="O30" s="13"/>
      <c r="P30" s="14"/>
      <c r="Q30" s="22">
        <v>-193.18312072753906</v>
      </c>
      <c r="R30" s="22">
        <v>1482.6181640625</v>
      </c>
      <c r="S30" s="22">
        <v>4.7538132667541504</v>
      </c>
      <c r="T30" s="23" t="s">
        <v>197</v>
      </c>
      <c r="U30" s="23">
        <f t="shared" si="1"/>
        <v>1357.4189778494456</v>
      </c>
      <c r="AC30" s="23">
        <v>270</v>
      </c>
      <c r="AD30" s="23">
        <f t="array" ref="AD30">XCOMPRESSL($B$4,$B$5,$B$6,$B$15,$B$16,$B$17,$B$11,$B$12,$B$13,$B$7,$B$8,AC30,$AD$1,$B$3,$B$14)</f>
        <v>47.194671630859389</v>
      </c>
      <c r="AE30" s="23">
        <f t="array" ref="AE30:AG30">FLEXCOMPBIAXL($B$4,$B$5,$B$6,$B$15,$B$16,$B$17,$B$11,$B$12,$B$13,$B$7,$B$8,AC30,AD30,$B$3,$B$14)</f>
        <v>-220.54055858724053</v>
      </c>
      <c r="AF30" s="23">
        <v>-1459.7181178553244</v>
      </c>
      <c r="AG30" s="23">
        <v>-511.66777290038482</v>
      </c>
      <c r="AI30" s="23">
        <v>270</v>
      </c>
      <c r="AJ30" s="23">
        <f t="shared" si="0"/>
        <v>33.759307861328139</v>
      </c>
      <c r="AK30" s="23">
        <f t="array" ref="AK30:AM30">FLEXCOMPBIAXL($B$4,$B$5,$B$6,$B$15,$B$16,$B$17,$B$11,$B$12,$B$13,$B$7,$B$8,AI30,AJ30,$B$3,$B$14)</f>
        <v>-112.78066867394658</v>
      </c>
      <c r="AL30" s="23">
        <v>-2090.0020090816311</v>
      </c>
      <c r="AM30" s="23">
        <v>-969.87595068572728</v>
      </c>
      <c r="AO30" s="27">
        <v>-264.4756192782242</v>
      </c>
      <c r="AP30" s="27">
        <v>-2.6142094022810426E-13</v>
      </c>
      <c r="AQ30" s="27">
        <v>1.293439292324454E-13</v>
      </c>
      <c r="AR30" s="27">
        <f t="shared" si="2"/>
        <v>-2.9132252166164108E-13</v>
      </c>
    </row>
    <row r="31" spans="1:44" x14ac:dyDescent="0.2">
      <c r="A31" s="24"/>
      <c r="B31" s="13"/>
      <c r="C31" s="13"/>
      <c r="D31" s="13"/>
      <c r="E31" s="13"/>
      <c r="F31" s="13"/>
      <c r="G31" s="13"/>
      <c r="H31" s="13"/>
      <c r="I31" s="24"/>
      <c r="J31" s="13"/>
      <c r="K31" s="13"/>
      <c r="L31" s="13"/>
      <c r="M31" s="13"/>
      <c r="N31" s="13"/>
      <c r="O31" s="13"/>
      <c r="P31" s="14"/>
      <c r="Q31" s="22">
        <v>-193.10670471191406</v>
      </c>
      <c r="R31" s="22">
        <v>1477.9271240234375</v>
      </c>
      <c r="S31" s="22">
        <v>-8.1433172225952148</v>
      </c>
      <c r="T31" s="23" t="s">
        <v>138</v>
      </c>
      <c r="U31" s="23">
        <f t="shared" si="1"/>
        <v>1358.2674396321117</v>
      </c>
      <c r="AC31" s="23">
        <v>280</v>
      </c>
      <c r="AD31" s="23">
        <f t="array" ref="AD31">XCOMPRESSL($B$4,$B$5,$B$6,$B$15,$B$16,$B$17,$B$11,$B$12,$B$13,$B$7,$B$8,AC31,$AD$1,$B$3,$B$14)</f>
        <v>46.135798037345495</v>
      </c>
      <c r="AE31" s="23">
        <f t="array" ref="AE31:AG31">FLEXCOMPBIAXL($B$4,$B$5,$B$6,$B$15,$B$16,$B$17,$B$11,$B$12,$B$13,$B$7,$B$8,AC31,AD31,$B$3,$B$14)</f>
        <v>-220.55175563996957</v>
      </c>
      <c r="AF31" s="23">
        <v>-1407.4044973115444</v>
      </c>
      <c r="AG31" s="23">
        <v>-94.354267608008783</v>
      </c>
      <c r="AI31" s="23">
        <v>280</v>
      </c>
      <c r="AJ31" s="23">
        <f t="shared" si="0"/>
        <v>33.057625016285783</v>
      </c>
      <c r="AK31" s="23">
        <f t="array" ref="AK31:AM31">FLEXCOMPBIAXL($B$4,$B$5,$B$6,$B$15,$B$16,$B$17,$B$11,$B$12,$B$13,$B$7,$B$8,AI31,AJ31,$B$3,$B$14)</f>
        <v>-112.7577884548065</v>
      </c>
      <c r="AL31" s="23">
        <v>-2040.7447559666807</v>
      </c>
      <c r="AM31" s="23">
        <v>-511.13796741584588</v>
      </c>
    </row>
    <row r="32" spans="1:44" x14ac:dyDescent="0.2">
      <c r="A32" s="24"/>
      <c r="B32" s="13"/>
      <c r="C32" s="13"/>
      <c r="D32" s="13"/>
      <c r="E32" s="13"/>
      <c r="F32" s="13"/>
      <c r="G32" s="13"/>
      <c r="H32" s="13"/>
      <c r="I32" s="24"/>
      <c r="J32" s="13"/>
      <c r="K32" s="13"/>
      <c r="L32" s="13"/>
      <c r="M32" s="13"/>
      <c r="N32" s="13"/>
      <c r="O32" s="13"/>
      <c r="P32" s="14"/>
      <c r="Q32" s="22">
        <v>-201.91981506347656</v>
      </c>
      <c r="R32" s="22">
        <v>1310.0308837890625</v>
      </c>
      <c r="S32" s="22">
        <v>13.056838989257813</v>
      </c>
      <c r="T32" s="23" t="s">
        <v>190</v>
      </c>
      <c r="U32" s="23">
        <f t="shared" si="1"/>
        <v>1195.8697190415569</v>
      </c>
      <c r="AC32" s="23">
        <v>290</v>
      </c>
      <c r="AD32" s="23">
        <f t="array" ref="AD32">XCOMPRESSL($B$4,$B$5,$B$6,$B$15,$B$16,$B$17,$B$11,$B$12,$B$13,$B$7,$B$8,AC32,$AD$1,$B$3,$B$14)</f>
        <v>43.724936086778769</v>
      </c>
      <c r="AE32" s="23">
        <f t="array" ref="AE32:AG32">FLEXCOMPBIAXL($B$4,$B$5,$B$6,$B$15,$B$16,$B$17,$B$11,$B$12,$B$13,$B$7,$B$8,AC32,AD32,$B$3,$B$14)</f>
        <v>-220.54263828030463</v>
      </c>
      <c r="AF32" s="23">
        <v>-1298.8885829979006</v>
      </c>
      <c r="AG32" s="23">
        <v>342.19671199809983</v>
      </c>
      <c r="AI32" s="23">
        <v>290</v>
      </c>
      <c r="AJ32" s="23">
        <f t="shared" si="0"/>
        <v>31.324100514501776</v>
      </c>
      <c r="AK32" s="23">
        <f t="array" ref="AK32:AM32">FLEXCOMPBIAXL($B$4,$B$5,$B$6,$B$15,$B$16,$B$17,$B$11,$B$12,$B$13,$B$7,$B$8,AI32,AJ32,$B$3,$B$14)</f>
        <v>-112.77323057346337</v>
      </c>
      <c r="AL32" s="23">
        <v>-1921.8172586133001</v>
      </c>
      <c r="AM32" s="23">
        <v>1.8723260581407952</v>
      </c>
    </row>
    <row r="33" spans="1:45" x14ac:dyDescent="0.2">
      <c r="A33" s="24"/>
      <c r="B33" s="13"/>
      <c r="C33" s="13"/>
      <c r="D33" s="13"/>
      <c r="E33" s="13"/>
      <c r="F33" s="13"/>
      <c r="G33" s="13"/>
      <c r="H33" s="13"/>
      <c r="I33" s="24"/>
      <c r="J33" s="13"/>
      <c r="K33" s="13"/>
      <c r="L33" s="13"/>
      <c r="M33" s="13"/>
      <c r="N33" s="13"/>
      <c r="O33" s="13"/>
      <c r="P33" s="14"/>
      <c r="Q33" s="22">
        <v>-112.908203125</v>
      </c>
      <c r="R33" s="22">
        <v>1177.1680908203125</v>
      </c>
      <c r="S33" s="22">
        <v>739.99456787109375</v>
      </c>
      <c r="T33" s="23" t="s">
        <v>207</v>
      </c>
      <c r="U33" s="23">
        <f t="shared" si="1"/>
        <v>783.81553241320194</v>
      </c>
      <c r="AC33" s="23">
        <v>300</v>
      </c>
      <c r="AD33" s="23">
        <f t="array" ref="AD33">XCOMPRESSL($B$4,$B$5,$B$6,$B$15,$B$16,$B$17,$B$11,$B$12,$B$13,$B$7,$B$8,AC33,$AD$1,$B$3,$B$14)</f>
        <v>40.5575851886476</v>
      </c>
      <c r="AE33" s="23">
        <f t="array" ref="AE33:AG33">FLEXCOMPBIAXL($B$4,$B$5,$B$6,$B$15,$B$16,$B$17,$B$11,$B$12,$B$13,$B$7,$B$8,AC33,AD33,$B$3,$B$14)</f>
        <v>-220.54432629998911</v>
      </c>
      <c r="AF33" s="23">
        <v>-1164.3864874888593</v>
      </c>
      <c r="AG33" s="23">
        <v>719.37729252218492</v>
      </c>
      <c r="AI33" s="23">
        <v>300</v>
      </c>
      <c r="AJ33" s="23">
        <f t="shared" si="0"/>
        <v>28.43450039625651</v>
      </c>
      <c r="AK33" s="23">
        <f t="array" ref="AK33:AM33">FLEXCOMPBIAXL($B$4,$B$5,$B$6,$B$15,$B$16,$B$17,$B$11,$B$12,$B$13,$B$7,$B$8,AI33,AJ33,$B$3,$B$14)</f>
        <v>-112.75236502840353</v>
      </c>
      <c r="AL33" s="23">
        <v>-1722.079862679944</v>
      </c>
      <c r="AM33" s="23">
        <v>599.07708357366096</v>
      </c>
    </row>
    <row r="34" spans="1:45" x14ac:dyDescent="0.2">
      <c r="A34" s="24"/>
      <c r="B34" s="13"/>
      <c r="C34" s="13"/>
      <c r="D34" s="13"/>
      <c r="E34" s="13"/>
      <c r="F34" s="13"/>
      <c r="G34" s="13"/>
      <c r="H34" s="13"/>
      <c r="I34" s="24"/>
      <c r="J34" s="13"/>
      <c r="K34" s="13"/>
      <c r="L34" s="13"/>
      <c r="M34" s="13"/>
      <c r="N34" s="13"/>
      <c r="O34" s="13"/>
      <c r="P34" s="14"/>
      <c r="Q34" s="22">
        <v>-192.73565673828125</v>
      </c>
      <c r="R34" s="22">
        <v>1087.398193359375</v>
      </c>
      <c r="S34" s="22">
        <v>-715.2679443359375</v>
      </c>
      <c r="T34" s="23" t="s">
        <v>193</v>
      </c>
      <c r="U34" s="23">
        <f t="shared" si="1"/>
        <v>1282.5468183217251</v>
      </c>
      <c r="AC34" s="23">
        <v>310</v>
      </c>
      <c r="AD34" s="23">
        <f t="array" ref="AD34">XCOMPRESSL($B$4,$B$5,$B$6,$B$15,$B$16,$B$17,$B$11,$B$12,$B$13,$B$7,$B$8,AC34,$AD$1,$B$3,$B$14)</f>
        <v>37.394449899100309</v>
      </c>
      <c r="AE34" s="23">
        <f t="array" ref="AE34:AG34">FLEXCOMPBIAXL($B$4,$B$5,$B$6,$B$15,$B$16,$B$17,$B$11,$B$12,$B$13,$B$7,$B$8,AC34,AD34,$B$3,$B$14)</f>
        <v>-220.54851491852017</v>
      </c>
      <c r="AF34" s="23">
        <v>-977.30695932779042</v>
      </c>
      <c r="AG34" s="23">
        <v>1018.8161236625625</v>
      </c>
      <c r="AI34" s="23">
        <v>310</v>
      </c>
      <c r="AJ34" s="23">
        <f t="shared" si="0"/>
        <v>24.375462760330294</v>
      </c>
      <c r="AK34" s="23">
        <f t="array" ref="AK34:AM34">FLEXCOMPBIAXL($B$4,$B$5,$B$6,$B$15,$B$16,$B$17,$B$11,$B$12,$B$13,$B$7,$B$8,AI34,AJ34,$B$3,$B$14)</f>
        <v>-112.77475337960915</v>
      </c>
      <c r="AL34" s="23">
        <v>-1415.3191779176348</v>
      </c>
      <c r="AM34" s="23">
        <v>1378.7922195658634</v>
      </c>
    </row>
    <row r="35" spans="1:45" x14ac:dyDescent="0.2">
      <c r="A35" s="24"/>
      <c r="B35" s="13"/>
      <c r="C35" s="13"/>
      <c r="D35" s="13"/>
      <c r="E35" s="13"/>
      <c r="F35" s="13"/>
      <c r="G35" s="13"/>
      <c r="H35" s="13"/>
      <c r="I35" s="24"/>
      <c r="J35" s="13"/>
      <c r="K35" s="13"/>
      <c r="L35" s="13"/>
      <c r="M35" s="13"/>
      <c r="N35" s="13"/>
      <c r="O35" s="13"/>
      <c r="P35" s="14"/>
      <c r="Q35" s="22">
        <v>-175.0601806640625</v>
      </c>
      <c r="R35" s="22">
        <v>1199.4664306640625</v>
      </c>
      <c r="S35" s="22">
        <v>14.428714752197266</v>
      </c>
      <c r="T35" s="23" t="s">
        <v>38</v>
      </c>
      <c r="U35" s="23">
        <f t="shared" si="1"/>
        <v>1093.9525580147513</v>
      </c>
      <c r="AC35" s="23">
        <v>320</v>
      </c>
      <c r="AD35" s="23">
        <f t="array" ref="AD35">XCOMPRESSL($B$4,$B$5,$B$6,$B$15,$B$16,$B$17,$B$11,$B$12,$B$13,$B$7,$B$8,AC35,$AD$1,$B$3,$B$14)</f>
        <v>41.934915074533755</v>
      </c>
      <c r="AE35" s="23">
        <f t="array" ref="AE35:AG35">FLEXCOMPBIAXL($B$4,$B$5,$B$6,$B$15,$B$16,$B$17,$B$11,$B$12,$B$13,$B$7,$B$8,AC35,AD35,$B$3,$B$14)</f>
        <v>-220.53763160888732</v>
      </c>
      <c r="AF35" s="23">
        <v>-725.55461286089655</v>
      </c>
      <c r="AG35" s="23">
        <v>1228.0004605309753</v>
      </c>
      <c r="AI35" s="23">
        <v>320</v>
      </c>
      <c r="AJ35" s="23">
        <f t="shared" si="0"/>
        <v>29.215631445116095</v>
      </c>
      <c r="AK35" s="23">
        <f t="array" ref="AK35:AM35">FLEXCOMPBIAXL($B$4,$B$5,$B$6,$B$15,$B$16,$B$17,$B$11,$B$12,$B$13,$B$7,$B$8,AI35,AJ35,$B$3,$B$14)</f>
        <v>-112.75029367108799</v>
      </c>
      <c r="AL35" s="23">
        <v>-715.07561937814251</v>
      </c>
      <c r="AM35" s="23">
        <v>1814.1887324278689</v>
      </c>
    </row>
    <row r="36" spans="1:45" x14ac:dyDescent="0.2">
      <c r="A36" s="24"/>
      <c r="B36" s="13"/>
      <c r="C36" s="13"/>
      <c r="D36" s="13"/>
      <c r="E36" s="13"/>
      <c r="F36" s="13"/>
      <c r="G36" s="13"/>
      <c r="H36" s="13"/>
      <c r="I36" s="24"/>
      <c r="J36" s="13"/>
      <c r="K36" s="13"/>
      <c r="L36" s="13"/>
      <c r="M36" s="13"/>
      <c r="N36" s="13"/>
      <c r="O36" s="13"/>
      <c r="P36" s="14"/>
      <c r="Q36" s="22">
        <v>-194.33576965332031</v>
      </c>
      <c r="R36" s="22">
        <v>-0.28983169794082642</v>
      </c>
      <c r="S36" s="22">
        <v>-1137.40185546875</v>
      </c>
      <c r="T36" s="23" t="s">
        <v>193</v>
      </c>
      <c r="U36" s="23">
        <f t="shared" si="1"/>
        <v>453.85912577930776</v>
      </c>
      <c r="AC36" s="23">
        <v>330</v>
      </c>
      <c r="AD36" s="23">
        <f t="array" ref="AD36">XCOMPRESSL($B$4,$B$5,$B$6,$B$15,$B$16,$B$17,$B$11,$B$12,$B$13,$B$7,$B$8,AC36,$AD$1,$B$3,$B$14)</f>
        <v>45.956440612248457</v>
      </c>
      <c r="AE36" s="23">
        <f t="array" ref="AE36:AG36">FLEXCOMPBIAXL($B$4,$B$5,$B$6,$B$15,$B$16,$B$17,$B$11,$B$12,$B$13,$B$7,$B$8,AC36,AD36,$B$3,$B$14)</f>
        <v>-220.54395130328189</v>
      </c>
      <c r="AF36" s="23">
        <v>-442.7732594969998</v>
      </c>
      <c r="AG36" s="23">
        <v>1385.4350751647287</v>
      </c>
      <c r="AI36" s="23">
        <v>330</v>
      </c>
      <c r="AJ36" s="23">
        <f t="shared" si="0"/>
        <v>33.178885718440242</v>
      </c>
      <c r="AK36" s="23">
        <f t="array" ref="AK36:AM36">FLEXCOMPBIAXL($B$4,$B$5,$B$6,$B$15,$B$16,$B$17,$B$11,$B$12,$B$13,$B$7,$B$8,AI36,AJ36,$B$3,$B$14)</f>
        <v>-112.76567062640893</v>
      </c>
      <c r="AL36" s="23">
        <v>-189.60998939193311</v>
      </c>
      <c r="AM36" s="23">
        <v>2071.3426274177214</v>
      </c>
    </row>
    <row r="37" spans="1:45" x14ac:dyDescent="0.2">
      <c r="A37" s="24"/>
      <c r="B37" s="13"/>
      <c r="C37" s="13"/>
      <c r="D37" s="13"/>
      <c r="E37" s="13"/>
      <c r="F37" s="13"/>
      <c r="G37" s="13"/>
      <c r="H37" s="13"/>
      <c r="I37" s="24"/>
      <c r="J37" s="13"/>
      <c r="K37" s="13"/>
      <c r="L37" s="13"/>
      <c r="M37" s="13"/>
      <c r="N37" s="13"/>
      <c r="O37" s="13"/>
      <c r="P37" s="14"/>
      <c r="Q37" s="22">
        <v>-113.36925506591797</v>
      </c>
      <c r="R37" s="22">
        <v>336.78948974609375</v>
      </c>
      <c r="S37" s="22">
        <v>-1142.3924560546875</v>
      </c>
      <c r="T37" s="23" t="s">
        <v>194</v>
      </c>
      <c r="U37" s="23">
        <f t="shared" si="1"/>
        <v>764.8979965371866</v>
      </c>
      <c r="AC37" s="23">
        <v>340</v>
      </c>
      <c r="AD37" s="23">
        <f t="array" ref="AD37">XCOMPRESSL($B$4,$B$5,$B$6,$B$15,$B$16,$B$17,$B$11,$B$12,$B$13,$B$7,$B$8,AC37,$AD$1,$B$3,$B$14)</f>
        <v>49.48114320059819</v>
      </c>
      <c r="AE37" s="23">
        <f t="array" ref="AE37:AG37">FLEXCOMPBIAXL($B$4,$B$5,$B$6,$B$15,$B$16,$B$17,$B$11,$B$12,$B$13,$B$7,$B$8,AC37,AD37,$B$3,$B$14)</f>
        <v>-220.53755884906889</v>
      </c>
      <c r="AF37" s="23">
        <v>-127.37183598682213</v>
      </c>
      <c r="AG37" s="23">
        <v>1507.8973950047473</v>
      </c>
      <c r="AI37" s="23">
        <v>340</v>
      </c>
      <c r="AJ37" s="23">
        <f t="shared" si="0"/>
        <v>35.700281318439657</v>
      </c>
      <c r="AK37" s="23">
        <f t="array" ref="AK37:AM37">FLEXCOMPBIAXL($B$4,$B$5,$B$6,$B$15,$B$16,$B$17,$B$11,$B$12,$B$13,$B$7,$B$8,AI37,AJ37,$B$3,$B$14)</f>
        <v>-112.7915674653794</v>
      </c>
      <c r="AL37" s="23">
        <v>247.19853346836425</v>
      </c>
      <c r="AM37" s="23">
        <v>2262.5581506461635</v>
      </c>
    </row>
    <row r="38" spans="1:45" x14ac:dyDescent="0.2">
      <c r="A38" s="24"/>
      <c r="B38" s="13"/>
      <c r="C38" s="13"/>
      <c r="D38" s="13"/>
      <c r="E38" s="13"/>
      <c r="F38" s="13"/>
      <c r="G38" s="13"/>
      <c r="H38" s="13"/>
      <c r="I38" s="24"/>
      <c r="J38" s="13"/>
      <c r="K38" s="13"/>
      <c r="L38" s="13"/>
      <c r="M38" s="13"/>
      <c r="N38" s="13"/>
      <c r="O38" s="13"/>
      <c r="P38" s="14"/>
      <c r="Q38" s="22">
        <v>-193.53570556640625</v>
      </c>
      <c r="R38" s="22">
        <v>544.88232421875</v>
      </c>
      <c r="S38" s="22">
        <v>-933.41748046875</v>
      </c>
      <c r="T38" s="23" t="s">
        <v>193</v>
      </c>
      <c r="U38" s="23">
        <f t="shared" si="1"/>
        <v>872.24848826167772</v>
      </c>
      <c r="AC38" s="23">
        <v>350</v>
      </c>
      <c r="AD38" s="23">
        <f t="array" ref="AD38">XCOMPRESSL($B$4,$B$5,$B$6,$B$15,$B$16,$B$17,$B$11,$B$12,$B$13,$B$7,$B$8,AC38,$AD$1,$B$3,$B$14)</f>
        <v>51.666464017773805</v>
      </c>
      <c r="AE38" s="23">
        <f t="array" ref="AE38:AG38">FLEXCOMPBIAXL($B$4,$B$5,$B$6,$B$15,$B$16,$B$17,$B$11,$B$12,$B$13,$B$7,$B$8,AC38,AD38,$B$3,$B$14)</f>
        <v>-220.52099798944823</v>
      </c>
      <c r="AF38" s="23">
        <v>191.8735907035252</v>
      </c>
      <c r="AG38" s="23">
        <v>1593.9649095915486</v>
      </c>
      <c r="AI38" s="23">
        <v>350</v>
      </c>
      <c r="AJ38" s="23">
        <f t="shared" si="0"/>
        <v>37.220386769642218</v>
      </c>
      <c r="AK38" s="23">
        <f t="array" ref="AK38:AM38">FLEXCOMPBIAXL($B$4,$B$5,$B$6,$B$15,$B$16,$B$17,$B$11,$B$12,$B$13,$B$7,$B$8,AI38,AJ38,$B$3,$B$14)</f>
        <v>-112.77957137665568</v>
      </c>
      <c r="AL38" s="23">
        <v>609.1095329165712</v>
      </c>
      <c r="AM38" s="23">
        <v>2351.4624042324926</v>
      </c>
    </row>
    <row r="39" spans="1:45" x14ac:dyDescent="0.2">
      <c r="A39" s="24"/>
      <c r="B39" s="13"/>
      <c r="C39" s="13"/>
      <c r="D39" s="13"/>
      <c r="E39" s="13"/>
      <c r="F39" s="13"/>
      <c r="G39" s="13"/>
      <c r="H39" s="13"/>
      <c r="I39" s="24"/>
      <c r="J39" s="13"/>
      <c r="K39" s="13"/>
      <c r="L39" s="13"/>
      <c r="M39" s="13"/>
      <c r="N39" s="13"/>
      <c r="O39" s="13"/>
      <c r="P39" s="14"/>
      <c r="Q39" s="22">
        <v>-194.27473449707031</v>
      </c>
      <c r="R39" s="22">
        <v>251.18789672851563</v>
      </c>
      <c r="S39" s="22">
        <v>960.7196044921875</v>
      </c>
      <c r="T39" s="23" t="s">
        <v>192</v>
      </c>
      <c r="U39" s="23">
        <f t="shared" si="1"/>
        <v>-153.28381069705159</v>
      </c>
      <c r="AC39" s="27">
        <v>360</v>
      </c>
      <c r="AD39" s="27">
        <f>AD3</f>
        <v>52.337112426757813</v>
      </c>
      <c r="AE39" s="27">
        <f t="shared" ref="AE39:AG39" si="4">AE3</f>
        <v>-220.5374936544967</v>
      </c>
      <c r="AF39" s="27">
        <f t="shared" si="4"/>
        <v>499.32136051211739</v>
      </c>
      <c r="AG39" s="27">
        <f t="shared" si="4"/>
        <v>1637.9110966993635</v>
      </c>
      <c r="AI39" s="27">
        <v>360</v>
      </c>
      <c r="AJ39" s="27">
        <f t="shared" si="0"/>
        <v>37.608566284179688</v>
      </c>
      <c r="AK39" s="27">
        <f t="shared" ref="AK39:AM39" si="5">AK3</f>
        <v>-112.78753629423292</v>
      </c>
      <c r="AL39" s="27">
        <f t="shared" si="5"/>
        <v>945.70091693397001</v>
      </c>
      <c r="AM39" s="27">
        <f t="shared" si="5"/>
        <v>2396.3184298845968</v>
      </c>
    </row>
    <row r="40" spans="1:45" x14ac:dyDescent="0.2">
      <c r="A40" s="24"/>
      <c r="B40" s="13"/>
      <c r="C40" s="13"/>
      <c r="D40" s="13"/>
      <c r="E40" s="13"/>
      <c r="F40" s="13"/>
      <c r="G40" s="13"/>
      <c r="H40" s="13"/>
      <c r="I40" s="24"/>
      <c r="J40" s="13"/>
      <c r="K40" s="13"/>
      <c r="L40" s="13"/>
      <c r="M40" s="13"/>
      <c r="N40" s="13"/>
      <c r="O40" s="13"/>
      <c r="P40" s="14"/>
      <c r="Q40" s="22">
        <v>-220.53742980957031</v>
      </c>
      <c r="R40" s="22">
        <v>-827.5919189453125</v>
      </c>
      <c r="S40" s="22">
        <v>13.473413467407227</v>
      </c>
      <c r="T40" s="23" t="s">
        <v>23</v>
      </c>
      <c r="U40" s="23">
        <f t="shared" si="1"/>
        <v>-764.14513887144608</v>
      </c>
    </row>
    <row r="41" spans="1:45" x14ac:dyDescent="0.2">
      <c r="A41" s="24"/>
      <c r="B41" s="13"/>
      <c r="C41" s="13"/>
      <c r="D41" s="13"/>
      <c r="E41" s="13"/>
      <c r="F41" s="13"/>
      <c r="G41" s="13"/>
      <c r="H41" s="13"/>
      <c r="I41" s="24"/>
      <c r="J41" s="13"/>
      <c r="K41" s="13"/>
      <c r="L41" s="13"/>
      <c r="M41" s="13"/>
      <c r="N41" s="13"/>
      <c r="O41" s="13"/>
      <c r="P41" s="14"/>
      <c r="Q41" s="22">
        <v>-112.76921844482422</v>
      </c>
      <c r="R41" s="22">
        <v>352.224365234375</v>
      </c>
      <c r="S41" s="22">
        <v>-939.00054931640625</v>
      </c>
      <c r="T41" s="23" t="s">
        <v>194</v>
      </c>
      <c r="U41" s="23">
        <f t="shared" si="1"/>
        <v>697.84195090321828</v>
      </c>
      <c r="AC41" s="7">
        <f>XCOMPRESSL($B$4,$B$5,$B$6,$B$15,$B$16,$B$17,$B$11,$B$12,$B$13,$B$7,$B$8,B9,$AD$1,$B$3,$B$14)</f>
        <v>42.755977624216086</v>
      </c>
      <c r="AD41" s="7">
        <f t="array" ref="AD41:AF41">FLEXCOMPBIAXL($B$4,$B$5,$B$6,$B$15,$B$16,$B$17,$B$11,$B$12,$B$13,$B$7,$B$8,B9,AC41,$B$3,$B$14)</f>
        <v>-220.52020812114785</v>
      </c>
      <c r="AE41" s="7">
        <v>1502.5990055146099</v>
      </c>
      <c r="AF41" s="7">
        <v>87.402735183209685</v>
      </c>
      <c r="AG41" s="7">
        <f t="shared" ref="AG41:AG42" si="6">AF41*COS($X$6)+AE41*SIN($X$6)</f>
        <v>1342.7392939851029</v>
      </c>
      <c r="AI41" s="7">
        <f>XCOMPRESSL($B$4,$B$5,$B$6,$B$15,$B$16,$B$17,$B$11,$B$12,$B$13,$B$7,$B$8,B9,$AJ$1,$B$3,$B$14)</f>
        <v>30.668970502239272</v>
      </c>
      <c r="AJ41" s="7">
        <f t="array" ref="AJ41:AL41">FLEXCOMPBIAXL($B$4,$B$5,$B$6,$B$15,$B$16,$B$17,$B$11,$B$12,$B$13,$B$7,$B$8,B9,AI41,$B$3,$B$14)</f>
        <v>-112.75908039118276</v>
      </c>
      <c r="AK41" s="7">
        <v>1855.7811879447327</v>
      </c>
      <c r="AL41" s="7">
        <v>-285.51761597352282</v>
      </c>
      <c r="AM41" s="7">
        <f t="shared" ref="AM41:AM42" si="7">AL41*COS($X$6)+AK41*SIN($X$6)</f>
        <v>1815.4433446639491</v>
      </c>
    </row>
    <row r="42" spans="1:45" x14ac:dyDescent="0.2">
      <c r="A42" s="34"/>
      <c r="B42" s="35"/>
      <c r="C42" s="35"/>
      <c r="D42" s="35"/>
      <c r="E42" s="35"/>
      <c r="F42" s="35"/>
      <c r="G42" s="35"/>
      <c r="H42" s="35"/>
      <c r="I42" s="34"/>
      <c r="J42" s="35"/>
      <c r="K42" s="35"/>
      <c r="L42" s="35"/>
      <c r="M42" s="35"/>
      <c r="N42" s="35"/>
      <c r="O42" s="35"/>
      <c r="P42" s="37"/>
      <c r="Q42" s="40">
        <v>-203.51991271972656</v>
      </c>
      <c r="R42" s="40">
        <v>-733.01385498046875</v>
      </c>
      <c r="S42" s="40">
        <v>352.15841674804688</v>
      </c>
      <c r="T42" s="27" t="s">
        <v>190</v>
      </c>
      <c r="U42" s="27">
        <f t="shared" si="1"/>
        <v>-812.65770770863719</v>
      </c>
      <c r="AC42" s="7">
        <f>XCOMPRESSL($B$4,$B$5,$B$6,$B$15,$B$16,$B$17,$B$11,$B$12,$B$13,$B$7,$B$8,B9+180,$AD$1,$B$3,$B$14)</f>
        <v>42.638429563410384</v>
      </c>
      <c r="AD42" s="7">
        <f t="array" ref="AD42:AF42">FLEXCOMPBIAXL($B$4,$B$5,$B$6,$B$15,$B$16,$B$17,$B$11,$B$12,$B$13,$B$7,$B$8,B9+180,AC42,$B$3,$B$14)</f>
        <v>-220.53723884608746</v>
      </c>
      <c r="AE42" s="7">
        <v>-1251.4774682756811</v>
      </c>
      <c r="AF42" s="7">
        <v>489.66056213419051</v>
      </c>
      <c r="AG42" s="7">
        <f t="shared" si="6"/>
        <v>-1342.9033755458042</v>
      </c>
      <c r="AI42" s="7">
        <f>XCOMPRESSL($B$4,$B$5,$B$6,$B$15,$B$16,$B$17,$B$11,$B$12,$B$13,$B$7,$B$8,B9+180,$AJ$1,$B$3,$B$14)</f>
        <v>30.520757729919044</v>
      </c>
      <c r="AJ42" s="7">
        <f t="array" ref="AJ42:AL42">FLEXCOMPBIAXL($B$4,$B$5,$B$6,$B$15,$B$16,$B$17,$B$11,$B$12,$B$13,$B$7,$B$8,B9+180,AI42,$B$3,$B$14)</f>
        <v>-112.79534435555114</v>
      </c>
      <c r="AK42" s="7">
        <v>-1850.7717343536099</v>
      </c>
      <c r="AL42" s="7">
        <v>206.04535029319646</v>
      </c>
      <c r="AM42" s="7">
        <f t="shared" si="7"/>
        <v>-1779.1199983475594</v>
      </c>
    </row>
    <row r="43" spans="1:45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</row>
    <row r="44" spans="1:45" x14ac:dyDescent="0.2">
      <c r="A44" s="3" t="s">
        <v>84</v>
      </c>
      <c r="B44" s="3" t="s">
        <v>85</v>
      </c>
      <c r="C44" s="3" t="s">
        <v>86</v>
      </c>
      <c r="D44" s="3" t="s">
        <v>87</v>
      </c>
      <c r="E44" s="3" t="s">
        <v>88</v>
      </c>
      <c r="F44" s="3" t="s">
        <v>89</v>
      </c>
      <c r="H44" s="3" t="s">
        <v>90</v>
      </c>
      <c r="I44" s="3" t="s">
        <v>91</v>
      </c>
      <c r="J44" s="3" t="s">
        <v>92</v>
      </c>
      <c r="K44" s="3" t="s">
        <v>93</v>
      </c>
      <c r="W44" s="3" t="s">
        <v>94</v>
      </c>
      <c r="X44" s="3" t="s">
        <v>95</v>
      </c>
      <c r="Y44" s="3" t="s">
        <v>96</v>
      </c>
      <c r="Z44" s="3" t="s">
        <v>97</v>
      </c>
      <c r="AA44" s="3" t="s">
        <v>98</v>
      </c>
      <c r="AB44" s="3" t="s">
        <v>99</v>
      </c>
      <c r="AC44" s="3" t="s">
        <v>100</v>
      </c>
      <c r="AD44" s="3" t="s">
        <v>101</v>
      </c>
      <c r="AE44" s="3" t="s">
        <v>102</v>
      </c>
      <c r="AF44" s="3" t="s">
        <v>103</v>
      </c>
      <c r="AG44" s="3" t="s">
        <v>104</v>
      </c>
      <c r="AH44" s="3" t="s">
        <v>105</v>
      </c>
      <c r="AI44" s="3" t="s">
        <v>106</v>
      </c>
    </row>
    <row r="45" spans="1:45" x14ac:dyDescent="0.2">
      <c r="A45" s="42">
        <f t="array" ref="A45:B51">CONCELE(B15,B16,B17,B14)</f>
        <v>0</v>
      </c>
      <c r="B45" s="42">
        <v>0</v>
      </c>
      <c r="C45" s="18">
        <f t="shared" ref="C45:C51" ca="1" si="8">A45-$X$15</f>
        <v>-20.591952596457645</v>
      </c>
      <c r="D45" s="18">
        <f t="shared" ref="D45:D51" ca="1" si="9">B45-$X$16</f>
        <v>-22.719349134514118</v>
      </c>
      <c r="E45" s="18">
        <f t="shared" ref="E45:E51" ca="1" si="10">C45*COS($X$6)+D45*SIN($X$6)</f>
        <v>-12.608258694937955</v>
      </c>
      <c r="F45" s="18">
        <f t="shared" ref="F45:F51" ca="1" si="11">-C45*SIN($X$6)+D45*COS($X$6)</f>
        <v>27.950476731394538</v>
      </c>
      <c r="H45" s="18">
        <f t="array" aca="1" ref="H45:I53" ca="1">VERTCOMPRES(E45:F51,X21)</f>
        <v>-12.608258694937955</v>
      </c>
      <c r="I45" s="18">
        <f ca="1"/>
        <v>27.950476731394538</v>
      </c>
      <c r="J45" s="18">
        <f t="shared" ref="J45:J53" ca="1" si="12">H45*COS($X$6)-I45*SIN($X$6)</f>
        <v>-20.591952596457645</v>
      </c>
      <c r="K45" s="18">
        <f t="shared" ref="K45:K53" ca="1" si="13">H45*SIN($X$6)+I45*COS($X$6)</f>
        <v>-22.719349134514118</v>
      </c>
      <c r="W45" s="42">
        <f t="array" ref="W45:Y72">REBARELE(B15,B16,B17,B11,B12,B13,B7,B8,B14)</f>
        <v>5</v>
      </c>
      <c r="X45" s="42">
        <v>5</v>
      </c>
      <c r="Y45" s="42">
        <v>3.1415926535897931</v>
      </c>
      <c r="Z45" s="18">
        <f t="shared" ref="Z45:Z72" ca="1" si="14">W45-$X$15</f>
        <v>-15.591952596457645</v>
      </c>
      <c r="AA45" s="18">
        <f t="shared" ref="AA45:AA72" ca="1" si="15">X45-$X$16</f>
        <v>-17.719349134514118</v>
      </c>
      <c r="AB45" s="18">
        <f t="shared" ref="AB45:AB72" ca="1" si="16">Z45*COS($X$6)+AA45*SIN($X$6)</f>
        <v>-10.020406495507451</v>
      </c>
      <c r="AC45" s="18">
        <f t="shared" ref="AC45:AC72" ca="1" si="17">-Z45*SIN($X$6)+AA45*COS($X$6)</f>
        <v>21.369973635589272</v>
      </c>
      <c r="AD45" s="18">
        <f t="shared" ref="AD45:AD72" ca="1" si="18">$X$18-AC45</f>
        <v>6.5805030958052662</v>
      </c>
      <c r="AE45" s="18">
        <f t="shared" ref="AE45:AE72" ca="1" si="19">($B$10-AD45)*$AA$4</f>
        <v>-2.5090303684941051</v>
      </c>
      <c r="AF45" s="18">
        <f t="shared" ref="AF45:AF72" ca="1" si="20">IF(ABS(AE45)&lt;$X$7,AE45*$B$6/1000,SIGN(AE45)*$B$5)-IF(AD45&lt;$X$20,$X$8)</f>
        <v>-4.0214998148381706</v>
      </c>
      <c r="AG45" s="18">
        <f ca="1">Y45*AF45</f>
        <v>-12.63391427470831</v>
      </c>
      <c r="AH45" s="18">
        <f ca="1">AG45*AC45</f>
        <v>-269.98641496481156</v>
      </c>
      <c r="AI45" s="18">
        <f ca="1">AG45*AB45</f>
        <v>126.59695666197146</v>
      </c>
    </row>
    <row r="46" spans="1:45" x14ac:dyDescent="0.2">
      <c r="A46" s="43">
        <v>50</v>
      </c>
      <c r="B46" s="43">
        <v>0</v>
      </c>
      <c r="C46" s="23">
        <f t="shared" ca="1" si="8"/>
        <v>29.408047403542355</v>
      </c>
      <c r="D46" s="23">
        <f t="shared" ca="1" si="9"/>
        <v>-22.719349134514118</v>
      </c>
      <c r="E46" s="23">
        <f t="shared" ca="1" si="10"/>
        <v>-32.571513176811763</v>
      </c>
      <c r="F46" s="23">
        <f t="shared" ca="1" si="11"/>
        <v>-17.89129974478432</v>
      </c>
      <c r="H46" s="23">
        <f ca="1"/>
        <v>-27.492083587354532</v>
      </c>
      <c r="I46" s="23">
        <f ca="1"/>
        <v>-6.2273660871830501</v>
      </c>
      <c r="J46" s="23">
        <f t="shared" ca="1" si="12"/>
        <v>16.686099701905732</v>
      </c>
      <c r="K46" s="23">
        <f t="shared" ca="1" si="13"/>
        <v>-22.719349134514118</v>
      </c>
      <c r="W46" s="43">
        <v>20</v>
      </c>
      <c r="X46" s="43">
        <v>5</v>
      </c>
      <c r="Y46" s="43">
        <v>3.1415926535897931</v>
      </c>
      <c r="Z46" s="23">
        <f t="shared" ca="1" si="14"/>
        <v>-0.59195259645764509</v>
      </c>
      <c r="AA46" s="23">
        <f t="shared" ca="1" si="15"/>
        <v>-17.719349134514118</v>
      </c>
      <c r="AB46" s="23">
        <f t="shared" ca="1" si="16"/>
        <v>-16.009382840069591</v>
      </c>
      <c r="AC46" s="23">
        <f t="shared" ca="1" si="17"/>
        <v>7.6174406927356149</v>
      </c>
      <c r="AD46" s="23">
        <f t="shared" ca="1" si="18"/>
        <v>20.333036038658925</v>
      </c>
      <c r="AE46" s="23">
        <f t="shared" ca="1" si="19"/>
        <v>-1.4829574477884464</v>
      </c>
      <c r="AF46" s="23">
        <f t="shared" ca="1" si="20"/>
        <v>-2.9357106459287716</v>
      </c>
      <c r="AG46" s="23">
        <f t="shared" ref="AG46:AG72" ca="1" si="21">Y46*AF46</f>
        <v>-9.2228069983151748</v>
      </c>
      <c r="AH46" s="23">
        <f t="shared" ref="AH46:AH72" ca="1" si="22">AG46*AC46</f>
        <v>-70.25418533021282</v>
      </c>
      <c r="AI46" s="23">
        <f t="shared" ref="AI46:AI72" ca="1" si="23">AG46*AB46</f>
        <v>147.65144809610069</v>
      </c>
    </row>
    <row r="47" spans="1:45" x14ac:dyDescent="0.2">
      <c r="A47" s="43">
        <v>50</v>
      </c>
      <c r="B47" s="43">
        <v>25</v>
      </c>
      <c r="C47" s="23">
        <f t="shared" ca="1" si="8"/>
        <v>29.408047403542355</v>
      </c>
      <c r="D47" s="23">
        <f t="shared" ca="1" si="9"/>
        <v>2.2806508654858817</v>
      </c>
      <c r="E47" s="23">
        <f t="shared" ca="1" si="10"/>
        <v>-9.6506249387223306</v>
      </c>
      <c r="F47" s="23">
        <f t="shared" ca="1" si="11"/>
        <v>-27.872926985721222</v>
      </c>
      <c r="H47" s="23">
        <f ca="1"/>
        <v>-0.22437940818626104</v>
      </c>
      <c r="I47" s="23">
        <f ca="1"/>
        <v>-6.2273660871830501</v>
      </c>
      <c r="J47" s="23">
        <f t="shared" ca="1" si="12"/>
        <v>5.7990573486019299</v>
      </c>
      <c r="K47" s="23">
        <f t="shared" ca="1" si="13"/>
        <v>2.2806508654858817</v>
      </c>
      <c r="W47" s="43">
        <v>45</v>
      </c>
      <c r="X47" s="43">
        <v>5</v>
      </c>
      <c r="Y47" s="43">
        <v>3.1415926535897931</v>
      </c>
      <c r="Z47" s="23">
        <f t="shared" ca="1" si="14"/>
        <v>24.408047403542355</v>
      </c>
      <c r="AA47" s="23">
        <f t="shared" ca="1" si="15"/>
        <v>-17.719349134514118</v>
      </c>
      <c r="AB47" s="23">
        <f t="shared" ca="1" si="16"/>
        <v>-25.991010081006493</v>
      </c>
      <c r="AC47" s="23">
        <f t="shared" ca="1" si="17"/>
        <v>-15.303447545353816</v>
      </c>
      <c r="AD47" s="23">
        <f t="shared" ca="1" si="18"/>
        <v>43.25392427674835</v>
      </c>
      <c r="AE47" s="23">
        <f t="shared" ca="1" si="19"/>
        <v>0.22716408672098448</v>
      </c>
      <c r="AF47" s="23">
        <f t="shared" ca="1" si="20"/>
        <v>0.47704458211406742</v>
      </c>
      <c r="AG47" s="23">
        <f t="shared" ca="1" si="21"/>
        <v>1.4986797546043671</v>
      </c>
      <c r="AH47" s="23">
        <f t="shared" ca="1" si="22"/>
        <v>-22.93496701187166</v>
      </c>
      <c r="AI47" s="23">
        <f t="shared" ca="1" si="23"/>
        <v>-38.952200610122439</v>
      </c>
    </row>
    <row r="48" spans="1:45" x14ac:dyDescent="0.2">
      <c r="A48" s="43">
        <v>25</v>
      </c>
      <c r="B48" s="43">
        <v>25</v>
      </c>
      <c r="C48" s="23">
        <f t="shared" ca="1" si="8"/>
        <v>4.4080474035423549</v>
      </c>
      <c r="D48" s="23">
        <f t="shared" ca="1" si="9"/>
        <v>2.2806508654858817</v>
      </c>
      <c r="E48" s="23">
        <f t="shared" ca="1" si="10"/>
        <v>0.33100230221457072</v>
      </c>
      <c r="F48" s="23">
        <f t="shared" ca="1" si="11"/>
        <v>-4.9520387476317929</v>
      </c>
      <c r="H48" s="23">
        <f ca="1"/>
        <v>0.33100230221457072</v>
      </c>
      <c r="I48" s="23">
        <f ca="1"/>
        <v>-4.9520387476317929</v>
      </c>
      <c r="J48" s="23">
        <f t="shared" ca="1" si="12"/>
        <v>4.4080474035423549</v>
      </c>
      <c r="K48" s="23">
        <f t="shared" ca="1" si="13"/>
        <v>2.2806508654858817</v>
      </c>
      <c r="W48" s="43">
        <v>45</v>
      </c>
      <c r="X48" s="43">
        <v>20</v>
      </c>
      <c r="Y48" s="43">
        <v>3.1415926535897931</v>
      </c>
      <c r="Z48" s="23">
        <f t="shared" ca="1" si="14"/>
        <v>24.408047403542355</v>
      </c>
      <c r="AA48" s="23">
        <f t="shared" ca="1" si="15"/>
        <v>-2.7193491345141183</v>
      </c>
      <c r="AB48" s="23">
        <f t="shared" ca="1" si="16"/>
        <v>-12.238477138152838</v>
      </c>
      <c r="AC48" s="23">
        <f t="shared" ca="1" si="17"/>
        <v>-21.292423889915955</v>
      </c>
      <c r="AD48" s="23">
        <f t="shared" ca="1" si="18"/>
        <v>49.242900621310497</v>
      </c>
      <c r="AE48" s="23">
        <f t="shared" ca="1" si="19"/>
        <v>0.67400006053301043</v>
      </c>
      <c r="AF48" s="23">
        <f t="shared" ca="1" si="20"/>
        <v>1.4154001271193219</v>
      </c>
      <c r="AG48" s="23">
        <f t="shared" ca="1" si="21"/>
        <v>4.446610641248121</v>
      </c>
      <c r="AH48" s="23">
        <f t="shared" ca="1" si="22"/>
        <v>-94.679118646866002</v>
      </c>
      <c r="AI48" s="23">
        <f t="shared" ca="1" si="23"/>
        <v>-54.419742675182263</v>
      </c>
    </row>
    <row r="49" spans="1:35" x14ac:dyDescent="0.2">
      <c r="A49" s="43">
        <v>25</v>
      </c>
      <c r="B49" s="43">
        <v>55</v>
      </c>
      <c r="C49" s="23">
        <f t="shared" ca="1" si="8"/>
        <v>4.4080474035423549</v>
      </c>
      <c r="D49" s="23">
        <f t="shared" ca="1" si="9"/>
        <v>32.280650865485882</v>
      </c>
      <c r="E49" s="23">
        <f t="shared" ca="1" si="10"/>
        <v>27.836068187921885</v>
      </c>
      <c r="F49" s="23">
        <f t="shared" ca="1" si="11"/>
        <v>-16.929991436756076</v>
      </c>
      <c r="H49" s="23">
        <f ca="1"/>
        <v>3.2595463873862518</v>
      </c>
      <c r="I49" s="23">
        <f ca="1"/>
        <v>-6.2273660871830501</v>
      </c>
      <c r="J49" s="23">
        <f t="shared" ca="1" si="12"/>
        <v>4.4080474035423549</v>
      </c>
      <c r="K49" s="23">
        <f t="shared" ca="1" si="13"/>
        <v>5.4748378170904566</v>
      </c>
      <c r="W49" s="43">
        <v>20</v>
      </c>
      <c r="X49" s="43">
        <v>20</v>
      </c>
      <c r="Y49" s="43">
        <v>3.1415926535897931</v>
      </c>
      <c r="Z49" s="23">
        <f t="shared" ca="1" si="14"/>
        <v>-0.59195259645764509</v>
      </c>
      <c r="AA49" s="23">
        <f t="shared" ca="1" si="15"/>
        <v>-2.7193491345141183</v>
      </c>
      <c r="AB49" s="23">
        <f t="shared" ca="1" si="16"/>
        <v>-2.2568498972159348</v>
      </c>
      <c r="AC49" s="23">
        <f t="shared" ca="1" si="17"/>
        <v>1.628464348173474</v>
      </c>
      <c r="AD49" s="23">
        <f t="shared" ca="1" si="18"/>
        <v>26.322012383221065</v>
      </c>
      <c r="AE49" s="23">
        <f t="shared" ca="1" si="19"/>
        <v>-1.0361214739764208</v>
      </c>
      <c r="AF49" s="23">
        <f t="shared" ca="1" si="20"/>
        <v>-1.9973551009235182</v>
      </c>
      <c r="AG49" s="23">
        <f t="shared" ca="1" si="21"/>
        <v>-6.2748761116714249</v>
      </c>
      <c r="AH49" s="23">
        <f t="shared" ca="1" si="22"/>
        <v>-10.218412037062309</v>
      </c>
      <c r="AI49" s="23">
        <f t="shared" ca="1" si="23"/>
        <v>14.16145350766838</v>
      </c>
    </row>
    <row r="50" spans="1:35" x14ac:dyDescent="0.2">
      <c r="A50" s="43">
        <v>0</v>
      </c>
      <c r="B50" s="43">
        <v>55</v>
      </c>
      <c r="C50" s="23">
        <f t="shared" ca="1" si="8"/>
        <v>-20.591952596457645</v>
      </c>
      <c r="D50" s="23">
        <f t="shared" ca="1" si="9"/>
        <v>32.280650865485882</v>
      </c>
      <c r="E50" s="23">
        <f t="shared" ca="1" si="10"/>
        <v>37.817695428858784</v>
      </c>
      <c r="F50" s="23">
        <f t="shared" ca="1" si="11"/>
        <v>5.9908968013333528</v>
      </c>
      <c r="H50" s="23">
        <f ca="1"/>
        <v>32.49686560681566</v>
      </c>
      <c r="I50" s="23">
        <f ca="1"/>
        <v>-6.2273660871830501</v>
      </c>
      <c r="J50" s="23">
        <f t="shared" ca="1" si="12"/>
        <v>-7.2653934753626306</v>
      </c>
      <c r="K50" s="23">
        <f t="shared" ca="1" si="13"/>
        <v>32.280650865485875</v>
      </c>
      <c r="W50" s="43">
        <v>20</v>
      </c>
      <c r="X50" s="43">
        <v>50</v>
      </c>
      <c r="Y50" s="43">
        <v>3.1415926535897931</v>
      </c>
      <c r="Z50" s="23">
        <f t="shared" ca="1" si="14"/>
        <v>-0.59195259645764509</v>
      </c>
      <c r="AA50" s="23">
        <f t="shared" ca="1" si="15"/>
        <v>27.280650865485882</v>
      </c>
      <c r="AB50" s="23">
        <f t="shared" ca="1" si="16"/>
        <v>25.248215988491381</v>
      </c>
      <c r="AC50" s="23">
        <f t="shared" ca="1" si="17"/>
        <v>-10.34948834095081</v>
      </c>
      <c r="AD50" s="23">
        <f t="shared" ca="1" si="18"/>
        <v>38.299965072345344</v>
      </c>
      <c r="AE50" s="23">
        <f t="shared" ca="1" si="19"/>
        <v>-0.14244952635237002</v>
      </c>
      <c r="AF50" s="23">
        <f t="shared" ca="1" si="20"/>
        <v>-0.29914400533997704</v>
      </c>
      <c r="AG50" s="23">
        <f t="shared" ca="1" si="21"/>
        <v>-0.93978860954149768</v>
      </c>
      <c r="AH50" s="23">
        <f t="shared" ca="1" si="22"/>
        <v>9.7263312574081038</v>
      </c>
      <c r="AI50" s="23">
        <f t="shared" ca="1" si="23"/>
        <v>-23.727985797227724</v>
      </c>
    </row>
    <row r="51" spans="1:35" x14ac:dyDescent="0.2">
      <c r="A51" s="44">
        <v>0</v>
      </c>
      <c r="B51" s="44">
        <v>0</v>
      </c>
      <c r="C51" s="27">
        <f t="shared" ca="1" si="8"/>
        <v>-20.591952596457645</v>
      </c>
      <c r="D51" s="27">
        <f t="shared" ca="1" si="9"/>
        <v>-22.719349134514118</v>
      </c>
      <c r="E51" s="27">
        <f t="shared" ca="1" si="10"/>
        <v>-12.608258694937955</v>
      </c>
      <c r="F51" s="27">
        <f t="shared" ca="1" si="11"/>
        <v>27.950476731394538</v>
      </c>
      <c r="H51" s="23">
        <f ca="1"/>
        <v>37.817695428858784</v>
      </c>
      <c r="I51" s="23">
        <f ca="1"/>
        <v>5.9908968013333528</v>
      </c>
      <c r="J51" s="23">
        <f t="shared" ca="1" si="12"/>
        <v>-20.591952596457642</v>
      </c>
      <c r="K51" s="23">
        <f t="shared" ca="1" si="13"/>
        <v>32.280650865485875</v>
      </c>
      <c r="W51" s="43">
        <v>5</v>
      </c>
      <c r="X51" s="43">
        <v>50</v>
      </c>
      <c r="Y51" s="43">
        <v>3.1415926535897931</v>
      </c>
      <c r="Z51" s="23">
        <f t="shared" ca="1" si="14"/>
        <v>-15.591952596457645</v>
      </c>
      <c r="AA51" s="23">
        <f t="shared" ca="1" si="15"/>
        <v>27.280650865485882</v>
      </c>
      <c r="AB51" s="23">
        <f t="shared" ca="1" si="16"/>
        <v>31.237192333053521</v>
      </c>
      <c r="AC51" s="23">
        <f t="shared" ca="1" si="17"/>
        <v>3.4030446019028489</v>
      </c>
      <c r="AD51" s="23">
        <f t="shared" ca="1" si="18"/>
        <v>24.547432129491689</v>
      </c>
      <c r="AE51" s="23">
        <f t="shared" ca="1" si="19"/>
        <v>-1.1685224470580284</v>
      </c>
      <c r="AF51" s="23">
        <f t="shared" ca="1" si="20"/>
        <v>-2.2753971443948942</v>
      </c>
      <c r="AG51" s="23">
        <f t="shared" ca="1" si="21"/>
        <v>-7.1483709528301933</v>
      </c>
      <c r="AH51" s="23">
        <f t="shared" ca="1" si="22"/>
        <v>-24.326225183427912</v>
      </c>
      <c r="AI51" s="23">
        <f t="shared" ca="1" si="23"/>
        <v>-223.29503832156982</v>
      </c>
    </row>
    <row r="52" spans="1:35" x14ac:dyDescent="0.2">
      <c r="H52" s="23">
        <f ca="1"/>
        <v>-12.608258694937955</v>
      </c>
      <c r="I52" s="23">
        <f ca="1"/>
        <v>27.950476731394538</v>
      </c>
      <c r="J52" s="23">
        <f t="shared" ca="1" si="12"/>
        <v>-20.591952596457645</v>
      </c>
      <c r="K52" s="23">
        <f t="shared" ca="1" si="13"/>
        <v>-22.719349134514118</v>
      </c>
      <c r="W52" s="43">
        <v>5</v>
      </c>
      <c r="X52" s="43">
        <v>20</v>
      </c>
      <c r="Y52" s="43">
        <v>3.1415926535897931</v>
      </c>
      <c r="Z52" s="23">
        <f t="shared" ca="1" si="14"/>
        <v>-15.591952596457645</v>
      </c>
      <c r="AA52" s="23">
        <f t="shared" ca="1" si="15"/>
        <v>-2.7193491345141183</v>
      </c>
      <c r="AB52" s="23">
        <f t="shared" ca="1" si="16"/>
        <v>3.7321264473462064</v>
      </c>
      <c r="AC52" s="23">
        <f t="shared" ca="1" si="17"/>
        <v>15.380997291027132</v>
      </c>
      <c r="AD52" s="23">
        <f t="shared" ca="1" si="18"/>
        <v>12.569479440367406</v>
      </c>
      <c r="AE52" s="23">
        <f t="shared" ca="1" si="19"/>
        <v>-2.0621943946820798</v>
      </c>
      <c r="AF52" s="23">
        <f t="shared" ca="1" si="20"/>
        <v>-4.0214998148381706</v>
      </c>
      <c r="AG52" s="23">
        <f t="shared" ca="1" si="21"/>
        <v>-12.63391427470831</v>
      </c>
      <c r="AH52" s="23">
        <f t="shared" ca="1" si="22"/>
        <v>-194.32220123435752</v>
      </c>
      <c r="AI52" s="23">
        <f t="shared" ca="1" si="23"/>
        <v>-47.151365598143649</v>
      </c>
    </row>
    <row r="53" spans="1:35" x14ac:dyDescent="0.2">
      <c r="H53" s="27">
        <f ca="1"/>
        <v>-12.608258694937955</v>
      </c>
      <c r="I53" s="27">
        <f ca="1"/>
        <v>27.950476731394538</v>
      </c>
      <c r="J53" s="27">
        <f t="shared" ca="1" si="12"/>
        <v>-20.591952596457645</v>
      </c>
      <c r="K53" s="27">
        <f t="shared" ca="1" si="13"/>
        <v>-22.719349134514118</v>
      </c>
      <c r="W53" s="43">
        <v>32.5</v>
      </c>
      <c r="X53" s="43">
        <v>5</v>
      </c>
      <c r="Y53" s="43">
        <v>3.1415926535897931</v>
      </c>
      <c r="Z53" s="23">
        <f t="shared" ca="1" si="14"/>
        <v>11.908047403542355</v>
      </c>
      <c r="AA53" s="23">
        <f t="shared" ca="1" si="15"/>
        <v>-17.719349134514118</v>
      </c>
      <c r="AB53" s="23">
        <f t="shared" ca="1" si="16"/>
        <v>-21.000196460538042</v>
      </c>
      <c r="AC53" s="23">
        <f t="shared" ca="1" si="17"/>
        <v>-3.8430034263091004</v>
      </c>
      <c r="AD53" s="23">
        <f t="shared" ca="1" si="18"/>
        <v>31.793480157703637</v>
      </c>
      <c r="AE53" s="23">
        <f t="shared" ca="1" si="19"/>
        <v>-0.62789668053373093</v>
      </c>
      <c r="AF53" s="23">
        <f t="shared" ca="1" si="20"/>
        <v>-1.1400830346938693</v>
      </c>
      <c r="AG53" s="23">
        <f t="shared" ca="1" si="21"/>
        <v>-3.5816764862766171</v>
      </c>
      <c r="AH53" s="23">
        <f t="shared" ca="1" si="22"/>
        <v>13.764395008691778</v>
      </c>
      <c r="AI53" s="23">
        <f t="shared" ca="1" si="23"/>
        <v>75.215909869898539</v>
      </c>
    </row>
    <row r="54" spans="1:35" x14ac:dyDescent="0.2">
      <c r="W54" s="43">
        <v>32.5</v>
      </c>
      <c r="X54" s="43">
        <v>20</v>
      </c>
      <c r="Y54" s="43">
        <v>3.1415926535897931</v>
      </c>
      <c r="Z54" s="23">
        <f t="shared" ca="1" si="14"/>
        <v>11.908047403542355</v>
      </c>
      <c r="AA54" s="23">
        <f t="shared" ca="1" si="15"/>
        <v>-2.7193491345141183</v>
      </c>
      <c r="AB54" s="23">
        <f t="shared" ca="1" si="16"/>
        <v>-7.2476635176843862</v>
      </c>
      <c r="AC54" s="23">
        <f t="shared" ca="1" si="17"/>
        <v>-9.8319797708712411</v>
      </c>
      <c r="AD54" s="23">
        <f t="shared" ca="1" si="18"/>
        <v>37.782456502265781</v>
      </c>
      <c r="AE54" s="23">
        <f t="shared" ca="1" si="19"/>
        <v>-0.18106070672170521</v>
      </c>
      <c r="AF54" s="23">
        <f t="shared" ca="1" si="20"/>
        <v>-0.38022748411558094</v>
      </c>
      <c r="AG54" s="23">
        <f t="shared" ca="1" si="21"/>
        <v>-1.1945198707904388</v>
      </c>
      <c r="AH54" s="23">
        <f t="shared" ca="1" si="22"/>
        <v>11.744495205515323</v>
      </c>
      <c r="AI54" s="23">
        <f t="shared" ca="1" si="23"/>
        <v>8.65747808867693</v>
      </c>
    </row>
    <row r="55" spans="1:35" x14ac:dyDescent="0.2">
      <c r="W55" s="43">
        <v>20</v>
      </c>
      <c r="X55" s="43">
        <v>35</v>
      </c>
      <c r="Y55" s="43">
        <v>3.1415926535897931</v>
      </c>
      <c r="Z55" s="23">
        <f t="shared" ca="1" si="14"/>
        <v>-0.59195259645764509</v>
      </c>
      <c r="AA55" s="23">
        <f t="shared" ca="1" si="15"/>
        <v>12.280650865485882</v>
      </c>
      <c r="AB55" s="23">
        <f t="shared" ca="1" si="16"/>
        <v>11.495683045637723</v>
      </c>
      <c r="AC55" s="23">
        <f t="shared" ca="1" si="17"/>
        <v>-4.3605119963886674</v>
      </c>
      <c r="AD55" s="23">
        <f t="shared" ca="1" si="18"/>
        <v>32.310988727783204</v>
      </c>
      <c r="AE55" s="23">
        <f t="shared" ca="1" si="19"/>
        <v>-0.5892855001643954</v>
      </c>
      <c r="AF55" s="23">
        <f t="shared" ca="1" si="20"/>
        <v>-1.0589995559182648</v>
      </c>
      <c r="AG55" s="23">
        <f t="shared" ca="1" si="21"/>
        <v>-3.3269452250276741</v>
      </c>
      <c r="AH55" s="23">
        <f t="shared" ca="1" si="22"/>
        <v>14.507184565061168</v>
      </c>
      <c r="AI55" s="23">
        <f t="shared" ca="1" si="23"/>
        <v>-38.245507817116014</v>
      </c>
    </row>
    <row r="56" spans="1:35" x14ac:dyDescent="0.2">
      <c r="W56" s="43">
        <v>5</v>
      </c>
      <c r="X56" s="43">
        <v>35</v>
      </c>
      <c r="Y56" s="43">
        <v>3.1415926535897931</v>
      </c>
      <c r="Z56" s="23">
        <f t="shared" ca="1" si="14"/>
        <v>-15.591952596457645</v>
      </c>
      <c r="AA56" s="23">
        <f t="shared" ca="1" si="15"/>
        <v>12.280650865485882</v>
      </c>
      <c r="AB56" s="23">
        <f t="shared" ca="1" si="16"/>
        <v>17.484659390199866</v>
      </c>
      <c r="AC56" s="23">
        <f t="shared" ca="1" si="17"/>
        <v>9.3920209464649904</v>
      </c>
      <c r="AD56" s="23">
        <f t="shared" ca="1" si="18"/>
        <v>18.558455784929549</v>
      </c>
      <c r="AE56" s="23">
        <f t="shared" ca="1" si="19"/>
        <v>-1.615358420870054</v>
      </c>
      <c r="AF56" s="23">
        <f t="shared" ca="1" si="20"/>
        <v>-3.2137526894001476</v>
      </c>
      <c r="AG56" s="23">
        <f t="shared" ca="1" si="21"/>
        <v>-10.096301839473943</v>
      </c>
      <c r="AH56" s="23">
        <f t="shared" ca="1" si="22"/>
        <v>-94.824678358172292</v>
      </c>
      <c r="AI56" s="23">
        <f t="shared" ca="1" si="23"/>
        <v>-176.53039876385026</v>
      </c>
    </row>
    <row r="57" spans="1:35" x14ac:dyDescent="0.2">
      <c r="W57" s="43" t="e">
        <v>#N/A</v>
      </c>
      <c r="X57" s="43" t="e">
        <v>#N/A</v>
      </c>
      <c r="Y57" s="43" t="e">
        <v>#N/A</v>
      </c>
      <c r="Z57" s="23" t="e">
        <f t="shared" ca="1" si="14"/>
        <v>#N/A</v>
      </c>
      <c r="AA57" s="23" t="e">
        <f t="shared" ca="1" si="15"/>
        <v>#N/A</v>
      </c>
      <c r="AB57" s="23" t="e">
        <f t="shared" ca="1" si="16"/>
        <v>#N/A</v>
      </c>
      <c r="AC57" s="23" t="e">
        <f t="shared" ca="1" si="17"/>
        <v>#N/A</v>
      </c>
      <c r="AD57" s="23" t="e">
        <f t="shared" ca="1" si="18"/>
        <v>#N/A</v>
      </c>
      <c r="AE57" s="23" t="e">
        <f t="shared" ca="1" si="19"/>
        <v>#N/A</v>
      </c>
      <c r="AF57" s="23" t="e">
        <f t="shared" ca="1" si="20"/>
        <v>#N/A</v>
      </c>
      <c r="AG57" s="23" t="e">
        <f t="shared" ca="1" si="21"/>
        <v>#N/A</v>
      </c>
      <c r="AH57" s="23" t="e">
        <f t="shared" ca="1" si="22"/>
        <v>#N/A</v>
      </c>
      <c r="AI57" s="23" t="e">
        <f t="shared" ca="1" si="23"/>
        <v>#N/A</v>
      </c>
    </row>
    <row r="58" spans="1:35" x14ac:dyDescent="0.2">
      <c r="W58" s="43" t="e">
        <v>#N/A</v>
      </c>
      <c r="X58" s="43" t="e">
        <v>#N/A</v>
      </c>
      <c r="Y58" s="43" t="e">
        <v>#N/A</v>
      </c>
      <c r="Z58" s="23" t="e">
        <f t="shared" ca="1" si="14"/>
        <v>#N/A</v>
      </c>
      <c r="AA58" s="23" t="e">
        <f t="shared" ca="1" si="15"/>
        <v>#N/A</v>
      </c>
      <c r="AB58" s="23" t="e">
        <f t="shared" ca="1" si="16"/>
        <v>#N/A</v>
      </c>
      <c r="AC58" s="23" t="e">
        <f t="shared" ca="1" si="17"/>
        <v>#N/A</v>
      </c>
      <c r="AD58" s="23" t="e">
        <f t="shared" ca="1" si="18"/>
        <v>#N/A</v>
      </c>
      <c r="AE58" s="23" t="e">
        <f t="shared" ca="1" si="19"/>
        <v>#N/A</v>
      </c>
      <c r="AF58" s="23" t="e">
        <f t="shared" ca="1" si="20"/>
        <v>#N/A</v>
      </c>
      <c r="AG58" s="23" t="e">
        <f t="shared" ca="1" si="21"/>
        <v>#N/A</v>
      </c>
      <c r="AH58" s="23" t="e">
        <f t="shared" ca="1" si="22"/>
        <v>#N/A</v>
      </c>
      <c r="AI58" s="23" t="e">
        <f t="shared" ca="1" si="23"/>
        <v>#N/A</v>
      </c>
    </row>
    <row r="59" spans="1:35" x14ac:dyDescent="0.2">
      <c r="W59" s="43" t="e">
        <v>#N/A</v>
      </c>
      <c r="X59" s="43" t="e">
        <v>#N/A</v>
      </c>
      <c r="Y59" s="43" t="e">
        <v>#N/A</v>
      </c>
      <c r="Z59" s="23" t="e">
        <f t="shared" ca="1" si="14"/>
        <v>#N/A</v>
      </c>
      <c r="AA59" s="23" t="e">
        <f t="shared" ca="1" si="15"/>
        <v>#N/A</v>
      </c>
      <c r="AB59" s="23" t="e">
        <f t="shared" ca="1" si="16"/>
        <v>#N/A</v>
      </c>
      <c r="AC59" s="23" t="e">
        <f t="shared" ca="1" si="17"/>
        <v>#N/A</v>
      </c>
      <c r="AD59" s="23" t="e">
        <f t="shared" ca="1" si="18"/>
        <v>#N/A</v>
      </c>
      <c r="AE59" s="23" t="e">
        <f t="shared" ca="1" si="19"/>
        <v>#N/A</v>
      </c>
      <c r="AF59" s="23" t="e">
        <f t="shared" ca="1" si="20"/>
        <v>#N/A</v>
      </c>
      <c r="AG59" s="23" t="e">
        <f t="shared" ca="1" si="21"/>
        <v>#N/A</v>
      </c>
      <c r="AH59" s="23" t="e">
        <f t="shared" ca="1" si="22"/>
        <v>#N/A</v>
      </c>
      <c r="AI59" s="23" t="e">
        <f t="shared" ca="1" si="23"/>
        <v>#N/A</v>
      </c>
    </row>
    <row r="60" spans="1:35" x14ac:dyDescent="0.2">
      <c r="W60" s="43" t="e">
        <v>#N/A</v>
      </c>
      <c r="X60" s="43" t="e">
        <v>#N/A</v>
      </c>
      <c r="Y60" s="43" t="e">
        <v>#N/A</v>
      </c>
      <c r="Z60" s="23" t="e">
        <f t="shared" ca="1" si="14"/>
        <v>#N/A</v>
      </c>
      <c r="AA60" s="23" t="e">
        <f t="shared" ca="1" si="15"/>
        <v>#N/A</v>
      </c>
      <c r="AB60" s="23" t="e">
        <f t="shared" ca="1" si="16"/>
        <v>#N/A</v>
      </c>
      <c r="AC60" s="23" t="e">
        <f t="shared" ca="1" si="17"/>
        <v>#N/A</v>
      </c>
      <c r="AD60" s="23" t="e">
        <f t="shared" ca="1" si="18"/>
        <v>#N/A</v>
      </c>
      <c r="AE60" s="23" t="e">
        <f t="shared" ca="1" si="19"/>
        <v>#N/A</v>
      </c>
      <c r="AF60" s="23" t="e">
        <f t="shared" ca="1" si="20"/>
        <v>#N/A</v>
      </c>
      <c r="AG60" s="23" t="e">
        <f t="shared" ca="1" si="21"/>
        <v>#N/A</v>
      </c>
      <c r="AH60" s="23" t="e">
        <f t="shared" ca="1" si="22"/>
        <v>#N/A</v>
      </c>
      <c r="AI60" s="23" t="e">
        <f t="shared" ca="1" si="23"/>
        <v>#N/A</v>
      </c>
    </row>
    <row r="61" spans="1:35" x14ac:dyDescent="0.2">
      <c r="W61" s="43" t="e">
        <v>#N/A</v>
      </c>
      <c r="X61" s="43" t="e">
        <v>#N/A</v>
      </c>
      <c r="Y61" s="43" t="e">
        <v>#N/A</v>
      </c>
      <c r="Z61" s="23" t="e">
        <f t="shared" ca="1" si="14"/>
        <v>#N/A</v>
      </c>
      <c r="AA61" s="23" t="e">
        <f t="shared" ca="1" si="15"/>
        <v>#N/A</v>
      </c>
      <c r="AB61" s="23" t="e">
        <f t="shared" ca="1" si="16"/>
        <v>#N/A</v>
      </c>
      <c r="AC61" s="23" t="e">
        <f t="shared" ca="1" si="17"/>
        <v>#N/A</v>
      </c>
      <c r="AD61" s="23" t="e">
        <f t="shared" ca="1" si="18"/>
        <v>#N/A</v>
      </c>
      <c r="AE61" s="23" t="e">
        <f t="shared" ca="1" si="19"/>
        <v>#N/A</v>
      </c>
      <c r="AF61" s="23" t="e">
        <f t="shared" ca="1" si="20"/>
        <v>#N/A</v>
      </c>
      <c r="AG61" s="23" t="e">
        <f t="shared" ca="1" si="21"/>
        <v>#N/A</v>
      </c>
      <c r="AH61" s="23" t="e">
        <f t="shared" ca="1" si="22"/>
        <v>#N/A</v>
      </c>
      <c r="AI61" s="23" t="e">
        <f t="shared" ca="1" si="23"/>
        <v>#N/A</v>
      </c>
    </row>
    <row r="62" spans="1:35" x14ac:dyDescent="0.2">
      <c r="W62" s="43" t="e">
        <v>#N/A</v>
      </c>
      <c r="X62" s="43" t="e">
        <v>#N/A</v>
      </c>
      <c r="Y62" s="43" t="e">
        <v>#N/A</v>
      </c>
      <c r="Z62" s="23" t="e">
        <f t="shared" ca="1" si="14"/>
        <v>#N/A</v>
      </c>
      <c r="AA62" s="23" t="e">
        <f t="shared" ca="1" si="15"/>
        <v>#N/A</v>
      </c>
      <c r="AB62" s="23" t="e">
        <f t="shared" ca="1" si="16"/>
        <v>#N/A</v>
      </c>
      <c r="AC62" s="23" t="e">
        <f t="shared" ca="1" si="17"/>
        <v>#N/A</v>
      </c>
      <c r="AD62" s="23" t="e">
        <f t="shared" ca="1" si="18"/>
        <v>#N/A</v>
      </c>
      <c r="AE62" s="23" t="e">
        <f t="shared" ca="1" si="19"/>
        <v>#N/A</v>
      </c>
      <c r="AF62" s="23" t="e">
        <f t="shared" ca="1" si="20"/>
        <v>#N/A</v>
      </c>
      <c r="AG62" s="23" t="e">
        <f t="shared" ca="1" si="21"/>
        <v>#N/A</v>
      </c>
      <c r="AH62" s="23" t="e">
        <f t="shared" ca="1" si="22"/>
        <v>#N/A</v>
      </c>
      <c r="AI62" s="23" t="e">
        <f t="shared" ca="1" si="23"/>
        <v>#N/A</v>
      </c>
    </row>
    <row r="63" spans="1:35" x14ac:dyDescent="0.2">
      <c r="W63" s="43" t="e">
        <v>#N/A</v>
      </c>
      <c r="X63" s="43" t="e">
        <v>#N/A</v>
      </c>
      <c r="Y63" s="43" t="e">
        <v>#N/A</v>
      </c>
      <c r="Z63" s="23" t="e">
        <f t="shared" ca="1" si="14"/>
        <v>#N/A</v>
      </c>
      <c r="AA63" s="23" t="e">
        <f t="shared" ca="1" si="15"/>
        <v>#N/A</v>
      </c>
      <c r="AB63" s="23" t="e">
        <f t="shared" ca="1" si="16"/>
        <v>#N/A</v>
      </c>
      <c r="AC63" s="23" t="e">
        <f t="shared" ca="1" si="17"/>
        <v>#N/A</v>
      </c>
      <c r="AD63" s="23" t="e">
        <f t="shared" ca="1" si="18"/>
        <v>#N/A</v>
      </c>
      <c r="AE63" s="23" t="e">
        <f t="shared" ca="1" si="19"/>
        <v>#N/A</v>
      </c>
      <c r="AF63" s="23" t="e">
        <f t="shared" ca="1" si="20"/>
        <v>#N/A</v>
      </c>
      <c r="AG63" s="23" t="e">
        <f t="shared" ca="1" si="21"/>
        <v>#N/A</v>
      </c>
      <c r="AH63" s="23" t="e">
        <f t="shared" ca="1" si="22"/>
        <v>#N/A</v>
      </c>
      <c r="AI63" s="23" t="e">
        <f t="shared" ca="1" si="23"/>
        <v>#N/A</v>
      </c>
    </row>
    <row r="64" spans="1:35" x14ac:dyDescent="0.2">
      <c r="W64" s="43" t="e">
        <v>#N/A</v>
      </c>
      <c r="X64" s="43" t="e">
        <v>#N/A</v>
      </c>
      <c r="Y64" s="43" t="e">
        <v>#N/A</v>
      </c>
      <c r="Z64" s="23" t="e">
        <f t="shared" ca="1" si="14"/>
        <v>#N/A</v>
      </c>
      <c r="AA64" s="23" t="e">
        <f t="shared" ca="1" si="15"/>
        <v>#N/A</v>
      </c>
      <c r="AB64" s="23" t="e">
        <f t="shared" ca="1" si="16"/>
        <v>#N/A</v>
      </c>
      <c r="AC64" s="23" t="e">
        <f t="shared" ca="1" si="17"/>
        <v>#N/A</v>
      </c>
      <c r="AD64" s="23" t="e">
        <f t="shared" ca="1" si="18"/>
        <v>#N/A</v>
      </c>
      <c r="AE64" s="23" t="e">
        <f t="shared" ca="1" si="19"/>
        <v>#N/A</v>
      </c>
      <c r="AF64" s="23" t="e">
        <f t="shared" ca="1" si="20"/>
        <v>#N/A</v>
      </c>
      <c r="AG64" s="23" t="e">
        <f t="shared" ca="1" si="21"/>
        <v>#N/A</v>
      </c>
      <c r="AH64" s="23" t="e">
        <f t="shared" ca="1" si="22"/>
        <v>#N/A</v>
      </c>
      <c r="AI64" s="23" t="e">
        <f t="shared" ca="1" si="23"/>
        <v>#N/A</v>
      </c>
    </row>
    <row r="65" spans="23:35" x14ac:dyDescent="0.2">
      <c r="W65" s="43" t="e">
        <v>#N/A</v>
      </c>
      <c r="X65" s="43" t="e">
        <v>#N/A</v>
      </c>
      <c r="Y65" s="43" t="e">
        <v>#N/A</v>
      </c>
      <c r="Z65" s="23" t="e">
        <f t="shared" ca="1" si="14"/>
        <v>#N/A</v>
      </c>
      <c r="AA65" s="23" t="e">
        <f t="shared" ca="1" si="15"/>
        <v>#N/A</v>
      </c>
      <c r="AB65" s="23" t="e">
        <f t="shared" ca="1" si="16"/>
        <v>#N/A</v>
      </c>
      <c r="AC65" s="23" t="e">
        <f t="shared" ca="1" si="17"/>
        <v>#N/A</v>
      </c>
      <c r="AD65" s="23" t="e">
        <f t="shared" ca="1" si="18"/>
        <v>#N/A</v>
      </c>
      <c r="AE65" s="23" t="e">
        <f t="shared" ca="1" si="19"/>
        <v>#N/A</v>
      </c>
      <c r="AF65" s="23" t="e">
        <f t="shared" ca="1" si="20"/>
        <v>#N/A</v>
      </c>
      <c r="AG65" s="23" t="e">
        <f t="shared" ca="1" si="21"/>
        <v>#N/A</v>
      </c>
      <c r="AH65" s="23" t="e">
        <f t="shared" ca="1" si="22"/>
        <v>#N/A</v>
      </c>
      <c r="AI65" s="23" t="e">
        <f t="shared" ca="1" si="23"/>
        <v>#N/A</v>
      </c>
    </row>
    <row r="66" spans="23:35" x14ac:dyDescent="0.2">
      <c r="W66" s="43" t="e">
        <v>#N/A</v>
      </c>
      <c r="X66" s="43" t="e">
        <v>#N/A</v>
      </c>
      <c r="Y66" s="43" t="e">
        <v>#N/A</v>
      </c>
      <c r="Z66" s="23" t="e">
        <f t="shared" ca="1" si="14"/>
        <v>#N/A</v>
      </c>
      <c r="AA66" s="23" t="e">
        <f t="shared" ca="1" si="15"/>
        <v>#N/A</v>
      </c>
      <c r="AB66" s="23" t="e">
        <f t="shared" ca="1" si="16"/>
        <v>#N/A</v>
      </c>
      <c r="AC66" s="23" t="e">
        <f t="shared" ca="1" si="17"/>
        <v>#N/A</v>
      </c>
      <c r="AD66" s="23" t="e">
        <f t="shared" ca="1" si="18"/>
        <v>#N/A</v>
      </c>
      <c r="AE66" s="23" t="e">
        <f t="shared" ca="1" si="19"/>
        <v>#N/A</v>
      </c>
      <c r="AF66" s="23" t="e">
        <f t="shared" ca="1" si="20"/>
        <v>#N/A</v>
      </c>
      <c r="AG66" s="23" t="e">
        <f t="shared" ca="1" si="21"/>
        <v>#N/A</v>
      </c>
      <c r="AH66" s="23" t="e">
        <f t="shared" ca="1" si="22"/>
        <v>#N/A</v>
      </c>
      <c r="AI66" s="23" t="e">
        <f t="shared" ca="1" si="23"/>
        <v>#N/A</v>
      </c>
    </row>
    <row r="67" spans="23:35" x14ac:dyDescent="0.2">
      <c r="W67" s="43" t="e">
        <v>#N/A</v>
      </c>
      <c r="X67" s="43" t="e">
        <v>#N/A</v>
      </c>
      <c r="Y67" s="43" t="e">
        <v>#N/A</v>
      </c>
      <c r="Z67" s="23" t="e">
        <f t="shared" ca="1" si="14"/>
        <v>#N/A</v>
      </c>
      <c r="AA67" s="23" t="e">
        <f t="shared" ca="1" si="15"/>
        <v>#N/A</v>
      </c>
      <c r="AB67" s="23" t="e">
        <f t="shared" ca="1" si="16"/>
        <v>#N/A</v>
      </c>
      <c r="AC67" s="23" t="e">
        <f t="shared" ca="1" si="17"/>
        <v>#N/A</v>
      </c>
      <c r="AD67" s="23" t="e">
        <f t="shared" ca="1" si="18"/>
        <v>#N/A</v>
      </c>
      <c r="AE67" s="23" t="e">
        <f t="shared" ca="1" si="19"/>
        <v>#N/A</v>
      </c>
      <c r="AF67" s="23" t="e">
        <f t="shared" ca="1" si="20"/>
        <v>#N/A</v>
      </c>
      <c r="AG67" s="23" t="e">
        <f t="shared" ca="1" si="21"/>
        <v>#N/A</v>
      </c>
      <c r="AH67" s="23" t="e">
        <f t="shared" ca="1" si="22"/>
        <v>#N/A</v>
      </c>
      <c r="AI67" s="23" t="e">
        <f t="shared" ca="1" si="23"/>
        <v>#N/A</v>
      </c>
    </row>
    <row r="68" spans="23:35" x14ac:dyDescent="0.2">
      <c r="W68" s="43" t="e">
        <v>#N/A</v>
      </c>
      <c r="X68" s="43" t="e">
        <v>#N/A</v>
      </c>
      <c r="Y68" s="43" t="e">
        <v>#N/A</v>
      </c>
      <c r="Z68" s="23" t="e">
        <f t="shared" ca="1" si="14"/>
        <v>#N/A</v>
      </c>
      <c r="AA68" s="23" t="e">
        <f t="shared" ca="1" si="15"/>
        <v>#N/A</v>
      </c>
      <c r="AB68" s="23" t="e">
        <f t="shared" ca="1" si="16"/>
        <v>#N/A</v>
      </c>
      <c r="AC68" s="23" t="e">
        <f t="shared" ca="1" si="17"/>
        <v>#N/A</v>
      </c>
      <c r="AD68" s="23" t="e">
        <f t="shared" ca="1" si="18"/>
        <v>#N/A</v>
      </c>
      <c r="AE68" s="23" t="e">
        <f t="shared" ca="1" si="19"/>
        <v>#N/A</v>
      </c>
      <c r="AF68" s="23" t="e">
        <f t="shared" ca="1" si="20"/>
        <v>#N/A</v>
      </c>
      <c r="AG68" s="23" t="e">
        <f t="shared" ca="1" si="21"/>
        <v>#N/A</v>
      </c>
      <c r="AH68" s="23" t="e">
        <f t="shared" ca="1" si="22"/>
        <v>#N/A</v>
      </c>
      <c r="AI68" s="23" t="e">
        <f t="shared" ca="1" si="23"/>
        <v>#N/A</v>
      </c>
    </row>
    <row r="69" spans="23:35" x14ac:dyDescent="0.2">
      <c r="W69" s="43" t="e">
        <v>#N/A</v>
      </c>
      <c r="X69" s="43" t="e">
        <v>#N/A</v>
      </c>
      <c r="Y69" s="43" t="e">
        <v>#N/A</v>
      </c>
      <c r="Z69" s="23" t="e">
        <f t="shared" ca="1" si="14"/>
        <v>#N/A</v>
      </c>
      <c r="AA69" s="23" t="e">
        <f t="shared" ca="1" si="15"/>
        <v>#N/A</v>
      </c>
      <c r="AB69" s="23" t="e">
        <f t="shared" ca="1" si="16"/>
        <v>#N/A</v>
      </c>
      <c r="AC69" s="23" t="e">
        <f t="shared" ca="1" si="17"/>
        <v>#N/A</v>
      </c>
      <c r="AD69" s="23" t="e">
        <f t="shared" ca="1" si="18"/>
        <v>#N/A</v>
      </c>
      <c r="AE69" s="23" t="e">
        <f t="shared" ca="1" si="19"/>
        <v>#N/A</v>
      </c>
      <c r="AF69" s="23" t="e">
        <f t="shared" ca="1" si="20"/>
        <v>#N/A</v>
      </c>
      <c r="AG69" s="23" t="e">
        <f t="shared" ca="1" si="21"/>
        <v>#N/A</v>
      </c>
      <c r="AH69" s="23" t="e">
        <f t="shared" ca="1" si="22"/>
        <v>#N/A</v>
      </c>
      <c r="AI69" s="23" t="e">
        <f t="shared" ca="1" si="23"/>
        <v>#N/A</v>
      </c>
    </row>
    <row r="70" spans="23:35" x14ac:dyDescent="0.2">
      <c r="W70" s="43" t="e">
        <v>#N/A</v>
      </c>
      <c r="X70" s="43" t="e">
        <v>#N/A</v>
      </c>
      <c r="Y70" s="43" t="e">
        <v>#N/A</v>
      </c>
      <c r="Z70" s="23" t="e">
        <f t="shared" ca="1" si="14"/>
        <v>#N/A</v>
      </c>
      <c r="AA70" s="23" t="e">
        <f t="shared" ca="1" si="15"/>
        <v>#N/A</v>
      </c>
      <c r="AB70" s="23" t="e">
        <f t="shared" ca="1" si="16"/>
        <v>#N/A</v>
      </c>
      <c r="AC70" s="23" t="e">
        <f t="shared" ca="1" si="17"/>
        <v>#N/A</v>
      </c>
      <c r="AD70" s="23" t="e">
        <f t="shared" ca="1" si="18"/>
        <v>#N/A</v>
      </c>
      <c r="AE70" s="23" t="e">
        <f t="shared" ca="1" si="19"/>
        <v>#N/A</v>
      </c>
      <c r="AF70" s="23" t="e">
        <f t="shared" ca="1" si="20"/>
        <v>#N/A</v>
      </c>
      <c r="AG70" s="23" t="e">
        <f t="shared" ca="1" si="21"/>
        <v>#N/A</v>
      </c>
      <c r="AH70" s="23" t="e">
        <f t="shared" ca="1" si="22"/>
        <v>#N/A</v>
      </c>
      <c r="AI70" s="23" t="e">
        <f t="shared" ca="1" si="23"/>
        <v>#N/A</v>
      </c>
    </row>
    <row r="71" spans="23:35" x14ac:dyDescent="0.2">
      <c r="W71" s="43" t="e">
        <v>#N/A</v>
      </c>
      <c r="X71" s="43" t="e">
        <v>#N/A</v>
      </c>
      <c r="Y71" s="43" t="e">
        <v>#N/A</v>
      </c>
      <c r="Z71" s="23" t="e">
        <f t="shared" ca="1" si="14"/>
        <v>#N/A</v>
      </c>
      <c r="AA71" s="23" t="e">
        <f t="shared" ca="1" si="15"/>
        <v>#N/A</v>
      </c>
      <c r="AB71" s="23" t="e">
        <f t="shared" ca="1" si="16"/>
        <v>#N/A</v>
      </c>
      <c r="AC71" s="23" t="e">
        <f t="shared" ca="1" si="17"/>
        <v>#N/A</v>
      </c>
      <c r="AD71" s="23" t="e">
        <f t="shared" ca="1" si="18"/>
        <v>#N/A</v>
      </c>
      <c r="AE71" s="23" t="e">
        <f t="shared" ca="1" si="19"/>
        <v>#N/A</v>
      </c>
      <c r="AF71" s="23" t="e">
        <f t="shared" ca="1" si="20"/>
        <v>#N/A</v>
      </c>
      <c r="AG71" s="23" t="e">
        <f t="shared" ca="1" si="21"/>
        <v>#N/A</v>
      </c>
      <c r="AH71" s="23" t="e">
        <f t="shared" ca="1" si="22"/>
        <v>#N/A</v>
      </c>
      <c r="AI71" s="23" t="e">
        <f t="shared" ca="1" si="23"/>
        <v>#N/A</v>
      </c>
    </row>
    <row r="72" spans="23:35" x14ac:dyDescent="0.2">
      <c r="W72" s="44" t="e">
        <v>#N/A</v>
      </c>
      <c r="X72" s="44" t="e">
        <v>#N/A</v>
      </c>
      <c r="Y72" s="44" t="e">
        <v>#N/A</v>
      </c>
      <c r="Z72" s="27" t="e">
        <f t="shared" ca="1" si="14"/>
        <v>#N/A</v>
      </c>
      <c r="AA72" s="27" t="e">
        <f t="shared" ca="1" si="15"/>
        <v>#N/A</v>
      </c>
      <c r="AB72" s="27" t="e">
        <f t="shared" ca="1" si="16"/>
        <v>#N/A</v>
      </c>
      <c r="AC72" s="27" t="e">
        <f t="shared" ca="1" si="17"/>
        <v>#N/A</v>
      </c>
      <c r="AD72" s="27" t="e">
        <f t="shared" ca="1" si="18"/>
        <v>#N/A</v>
      </c>
      <c r="AE72" s="27" t="e">
        <f t="shared" ca="1" si="19"/>
        <v>#N/A</v>
      </c>
      <c r="AF72" s="27" t="e">
        <f t="shared" ca="1" si="20"/>
        <v>#N/A</v>
      </c>
      <c r="AG72" s="27" t="e">
        <f t="shared" ca="1" si="21"/>
        <v>#N/A</v>
      </c>
      <c r="AH72" s="27" t="e">
        <f t="shared" ca="1" si="22"/>
        <v>#N/A</v>
      </c>
      <c r="AI72" s="27" t="e">
        <f t="shared" ca="1" si="23"/>
        <v>#N/A</v>
      </c>
    </row>
  </sheetData>
  <conditionalFormatting sqref="H45:I53">
    <cfRule type="containsErrors" dxfId="3" priority="3">
      <formula>ISERROR(H45)</formula>
    </cfRule>
  </conditionalFormatting>
  <conditionalFormatting sqref="J45:K53">
    <cfRule type="containsErrors" dxfId="2" priority="2">
      <formula>ISERROR(J45)</formula>
    </cfRule>
  </conditionalFormatting>
  <conditionalFormatting sqref="W45:AI72">
    <cfRule type="containsErrors" dxfId="1" priority="1">
      <formula>ISERROR(W45)</formula>
    </cfRule>
  </conditionalFormatting>
  <printOptions horizontalCentered="1" verticalCentered="1"/>
  <pageMargins left="0.59055118110236227" right="0.59055118110236227" top="0.59055118110236227" bottom="0.59055118110236227" header="0.39370078740157483" footer="0.39370078740157483"/>
  <pageSetup orientation="landscape" r:id="rId1"/>
  <ignoredErrors>
    <ignoredError sqref="J45:K53 Z45:AI72" evalError="1"/>
  </ignoredErrors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Fill="0" autoLine="0" r:id="rId5">
            <anchor moveWithCells="1">
              <from>
                <xdr:col>8</xdr:col>
                <xdr:colOff>95250</xdr:colOff>
                <xdr:row>17</xdr:row>
                <xdr:rowOff>19050</xdr:rowOff>
              </from>
              <to>
                <xdr:col>10</xdr:col>
                <xdr:colOff>295275</xdr:colOff>
                <xdr:row>18</xdr:row>
                <xdr:rowOff>133350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13</xdr:col>
                <xdr:colOff>123825</xdr:colOff>
                <xdr:row>12</xdr:row>
                <xdr:rowOff>9525</xdr:rowOff>
              </from>
              <to>
                <xdr:col>15</xdr:col>
                <xdr:colOff>323850</xdr:colOff>
                <xdr:row>13</xdr:row>
                <xdr:rowOff>142875</xdr:rowOff>
              </to>
            </anchor>
          </controlPr>
        </control>
      </mc:Choice>
      <mc:Fallback>
        <control shapeId="13314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3CCDA-69B1-43EA-A1FE-27EBB711830E}">
  <sheetPr codeName="Sheet16"/>
  <dimension ref="A1:AY177"/>
  <sheetViews>
    <sheetView zoomScale="85" zoomScaleNormal="85" workbookViewId="0">
      <selection activeCell="M54" sqref="M54"/>
    </sheetView>
  </sheetViews>
  <sheetFormatPr defaultColWidth="9.140625" defaultRowHeight="12.75" x14ac:dyDescent="0.2"/>
  <cols>
    <col min="1" max="1" width="8.5703125" style="48" bestFit="1" customWidth="1"/>
    <col min="2" max="19" width="6.5703125" style="48" customWidth="1"/>
    <col min="20" max="20" width="9.42578125" style="48" bestFit="1" customWidth="1"/>
    <col min="21" max="21" width="6.5703125" style="48" customWidth="1"/>
    <col min="22" max="22" width="5.7109375" style="48"/>
    <col min="23" max="23" width="6.7109375" style="48" bestFit="1" customWidth="1"/>
    <col min="24" max="24" width="6.28515625" style="48" customWidth="1"/>
    <col min="25" max="25" width="5.85546875" style="48" bestFit="1" customWidth="1"/>
    <col min="26" max="26" width="6.7109375" style="48" bestFit="1" customWidth="1"/>
    <col min="27" max="27" width="6.42578125" style="48" customWidth="1"/>
    <col min="28" max="39" width="5.85546875" style="48" bestFit="1" customWidth="1"/>
    <col min="40" max="44" width="5.85546875" style="48" customWidth="1"/>
    <col min="45" max="45" width="5.7109375" style="48"/>
    <col min="46" max="46" width="5.85546875" style="48" customWidth="1"/>
    <col min="47" max="50" width="5.85546875" style="48" bestFit="1" customWidth="1"/>
    <col min="51" max="16384" width="9.140625" style="48"/>
  </cols>
  <sheetData>
    <row r="1" spans="1:51" x14ac:dyDescent="0.2">
      <c r="A1" s="58" t="s">
        <v>24</v>
      </c>
      <c r="B1" s="59"/>
      <c r="C1" s="59"/>
      <c r="D1" s="59"/>
      <c r="E1" s="59"/>
      <c r="F1" s="59"/>
      <c r="G1" s="59"/>
      <c r="H1" s="1"/>
      <c r="I1" s="60" t="s">
        <v>25</v>
      </c>
      <c r="J1" s="59"/>
      <c r="K1" s="59"/>
      <c r="L1" s="59"/>
      <c r="M1" s="59"/>
      <c r="N1" s="59"/>
      <c r="O1" s="59"/>
      <c r="P1" s="59"/>
      <c r="Q1" s="59"/>
      <c r="R1" s="59"/>
      <c r="S1" s="30"/>
      <c r="T1" s="2"/>
      <c r="U1" s="2"/>
      <c r="V1" s="2"/>
      <c r="W1" s="3" t="s">
        <v>5</v>
      </c>
      <c r="X1" s="4">
        <v>0.85</v>
      </c>
      <c r="Y1" s="2"/>
      <c r="Z1" s="6" t="s">
        <v>13</v>
      </c>
      <c r="AA1" s="7">
        <f>AR14</f>
        <v>-359.61612870400688</v>
      </c>
      <c r="AB1" s="2"/>
      <c r="AC1" s="2"/>
      <c r="AD1" s="2"/>
      <c r="AE1" s="2"/>
      <c r="AF1" s="6" t="s">
        <v>13</v>
      </c>
      <c r="AG1" s="7">
        <f>AR10</f>
        <v>-163.89015055647877</v>
      </c>
      <c r="AH1" s="2"/>
      <c r="AI1" s="2"/>
      <c r="AJ1" s="2"/>
      <c r="AK1" s="2"/>
      <c r="AL1" s="6" t="s">
        <v>13</v>
      </c>
      <c r="AM1" s="7">
        <f>AR7</f>
        <v>-34.204754331184823</v>
      </c>
      <c r="AN1" s="2"/>
      <c r="AO1" s="2"/>
      <c r="AP1" s="2"/>
      <c r="AQ1" s="2"/>
      <c r="AR1" s="2"/>
      <c r="AS1" s="2"/>
      <c r="AT1" s="2"/>
      <c r="AU1" s="2"/>
      <c r="AY1" s="2"/>
    </row>
    <row r="2" spans="1:51" x14ac:dyDescent="0.2">
      <c r="A2" s="8" t="s">
        <v>126</v>
      </c>
      <c r="B2" s="9"/>
      <c r="C2" s="9"/>
      <c r="D2" s="9"/>
      <c r="E2" s="9"/>
      <c r="F2" s="9"/>
      <c r="G2" s="9"/>
      <c r="H2" s="10"/>
      <c r="I2" s="62"/>
      <c r="J2" s="9"/>
      <c r="K2" s="9"/>
      <c r="L2" s="9"/>
      <c r="M2" s="9"/>
      <c r="N2" s="9"/>
      <c r="O2" s="65"/>
      <c r="P2" s="10"/>
      <c r="Q2" s="6" t="s">
        <v>13</v>
      </c>
      <c r="R2" s="6" t="s">
        <v>19</v>
      </c>
      <c r="S2" s="6" t="s">
        <v>20</v>
      </c>
      <c r="T2" s="6" t="s">
        <v>22</v>
      </c>
      <c r="U2" s="6" t="s">
        <v>32</v>
      </c>
      <c r="V2" s="2"/>
      <c r="W2" s="3" t="s">
        <v>7</v>
      </c>
      <c r="X2" s="4">
        <v>5</v>
      </c>
      <c r="Y2" s="2"/>
      <c r="Z2" s="6" t="s">
        <v>18</v>
      </c>
      <c r="AA2" s="6" t="s">
        <v>35</v>
      </c>
      <c r="AB2" s="6" t="s">
        <v>13</v>
      </c>
      <c r="AC2" s="6" t="s">
        <v>19</v>
      </c>
      <c r="AD2" s="6" t="s">
        <v>20</v>
      </c>
      <c r="AE2" s="2"/>
      <c r="AF2" s="6" t="s">
        <v>18</v>
      </c>
      <c r="AG2" s="6" t="s">
        <v>35</v>
      </c>
      <c r="AH2" s="6" t="s">
        <v>13</v>
      </c>
      <c r="AI2" s="6" t="s">
        <v>19</v>
      </c>
      <c r="AJ2" s="6" t="s">
        <v>20</v>
      </c>
      <c r="AK2" s="2"/>
      <c r="AL2" s="6" t="s">
        <v>18</v>
      </c>
      <c r="AM2" s="6" t="s">
        <v>35</v>
      </c>
      <c r="AN2" s="6" t="s">
        <v>13</v>
      </c>
      <c r="AO2" s="6" t="s">
        <v>19</v>
      </c>
      <c r="AP2" s="6" t="s">
        <v>20</v>
      </c>
      <c r="AQ2" s="2"/>
      <c r="AR2" s="6" t="s">
        <v>13</v>
      </c>
      <c r="AS2" s="6" t="s">
        <v>19</v>
      </c>
      <c r="AT2" s="6" t="s">
        <v>20</v>
      </c>
      <c r="AU2" s="6" t="s">
        <v>32</v>
      </c>
      <c r="AY2" s="2"/>
    </row>
    <row r="3" spans="1:51" x14ac:dyDescent="0.2">
      <c r="A3" s="11" t="s">
        <v>3</v>
      </c>
      <c r="B3" s="12">
        <v>0.28000000000000003</v>
      </c>
      <c r="C3" s="13"/>
      <c r="D3" s="13"/>
      <c r="E3" s="13"/>
      <c r="F3" s="13"/>
      <c r="G3" s="13"/>
      <c r="H3" s="14"/>
      <c r="I3" s="24"/>
      <c r="J3" s="13"/>
      <c r="K3" s="13"/>
      <c r="L3" s="13"/>
      <c r="M3" s="13"/>
      <c r="N3" s="13"/>
      <c r="O3" s="63"/>
      <c r="P3" s="14"/>
      <c r="Q3" s="15">
        <v>-74.252098083496094</v>
      </c>
      <c r="R3" s="16">
        <v>2404.800537109375</v>
      </c>
      <c r="S3" s="16">
        <v>725.82586669921875</v>
      </c>
      <c r="T3" s="17" t="s">
        <v>23</v>
      </c>
      <c r="U3" s="23">
        <f>S3*COS($X$4)+R3*SIN($X$4)</f>
        <v>-573.81662926930778</v>
      </c>
      <c r="V3" s="2"/>
      <c r="W3" s="3" t="s">
        <v>8</v>
      </c>
      <c r="X3" s="4">
        <v>-3</v>
      </c>
      <c r="Y3" s="2"/>
      <c r="Z3" s="18">
        <v>0</v>
      </c>
      <c r="AA3" s="18">
        <f t="shared" ref="AA3:AA38" si="0">XCOMPRESSRN($B$4,$B$5,$B$6,$B$12,$B$13,$B$14,$B$15,$B$8,$B$9,$B$10,$B$7,Z3,$AA$1,$B$3,$B$11)</f>
        <v>54.925308227539063</v>
      </c>
      <c r="AB3" s="18">
        <f t="array" ref="AB3:AD3">FLEXCOMPBIAXRN($B$4,$B$5,$B$6,$B$12,$B$13,$B$14,$B$15,$B$8,$B$9,$B$10,$B$7,Z3,AA3,$B$3,$B$11)</f>
        <v>-359.61612870400688</v>
      </c>
      <c r="AC3" s="18">
        <v>0</v>
      </c>
      <c r="AD3" s="18">
        <v>1926.3525317792389</v>
      </c>
      <c r="AE3" s="2"/>
      <c r="AF3" s="18">
        <v>0</v>
      </c>
      <c r="AG3" s="18">
        <f t="shared" ref="AG3:AG39" si="1">XCOMPRESSRN($B$4,$B$5,$B$6,$B$12,$B$13,$B$14,$B$15,$B$8,$B$9,$B$10,$B$7,AF3,$AG$1,$B$3,$B$11)</f>
        <v>29.733200073242188</v>
      </c>
      <c r="AH3" s="18">
        <f t="array" ref="AH3:AJ3">FLEXCOMPBIAXRN($B$4,$B$5,$B$6,$B$12,$B$13,$B$14,$B$15,$B$8,$B$9,$B$10,$B$7,AF3,AG3,$B$3,$B$11)</f>
        <v>-163.89320064340507</v>
      </c>
      <c r="AI3" s="18">
        <v>0</v>
      </c>
      <c r="AJ3" s="18">
        <v>4023.0019700492021</v>
      </c>
      <c r="AK3" s="2"/>
      <c r="AL3" s="18">
        <v>0</v>
      </c>
      <c r="AM3" s="18">
        <f t="shared" ref="AM3:AM39" si="2">XCOMPRESSRN($B$4,$B$5,$B$6,$B$12,$B$13,$B$14,$B$15,$B$8,$B$9,$B$10,$B$7,AL3,$AM$1,$B$3,$B$11)</f>
        <v>12.638015747070313</v>
      </c>
      <c r="AN3" s="18">
        <f t="array" ref="AN3:AP3">FLEXCOMPBIAXRN($B$4,$B$5,$B$6,$B$12,$B$13,$B$14,$B$15,$B$8,$B$9,$B$10,$B$7,AL3,AM3,$B$3,$B$11)</f>
        <v>-34.223382851604597</v>
      </c>
      <c r="AO3" s="18">
        <v>0</v>
      </c>
      <c r="AP3" s="18">
        <v>3760.3463827209753</v>
      </c>
      <c r="AQ3" s="2"/>
      <c r="AR3" s="18">
        <f t="array" ref="AR3:AT16">DIAGRAFLEXCOMPRN(B4,B5,B6,B12,B13,B14,B15,B8,B9,B10,B7,G20,B3,B11)</f>
        <v>142.50264276683305</v>
      </c>
      <c r="AS3" s="18">
        <v>-2.4613922385709611E-14</v>
      </c>
      <c r="AT3" s="18">
        <v>-1.4210854715202016E-14</v>
      </c>
      <c r="AU3" s="18">
        <f t="shared" ref="AU3:AU30" si="3">AT3*COS($X$4)+AS3*SIN($X$4)</f>
        <v>0</v>
      </c>
      <c r="AY3" s="2"/>
    </row>
    <row r="4" spans="1:51" x14ac:dyDescent="0.2">
      <c r="A4" s="11" t="s">
        <v>0</v>
      </c>
      <c r="B4" s="12">
        <v>0.21</v>
      </c>
      <c r="C4" s="13"/>
      <c r="D4" s="13"/>
      <c r="E4" s="13"/>
      <c r="F4" s="13"/>
      <c r="G4" s="13"/>
      <c r="H4" s="14"/>
      <c r="I4" s="24"/>
      <c r="J4" s="13"/>
      <c r="K4" s="13"/>
      <c r="L4" s="13"/>
      <c r="M4" s="13"/>
      <c r="N4" s="13"/>
      <c r="O4" s="63"/>
      <c r="P4" s="14"/>
      <c r="Q4" s="20">
        <v>-77.536521911621094</v>
      </c>
      <c r="R4" s="21">
        <v>-1779.7122802734375</v>
      </c>
      <c r="S4" s="21">
        <v>-477.39825439453125</v>
      </c>
      <c r="T4" s="22" t="s">
        <v>23</v>
      </c>
      <c r="U4" s="23">
        <f t="shared" ref="U4:U42" si="4">S4*COS($X$4)+R4*SIN($X$4)</f>
        <v>476.41712410870957</v>
      </c>
      <c r="V4" s="2"/>
      <c r="W4" s="3" t="s">
        <v>43</v>
      </c>
      <c r="X4" s="5">
        <f>RADIANS(G20)</f>
        <v>5.7595865315812871</v>
      </c>
      <c r="Y4" s="2"/>
      <c r="Z4" s="23">
        <v>10</v>
      </c>
      <c r="AA4" s="23">
        <f t="shared" si="0"/>
        <v>59.97107657801584</v>
      </c>
      <c r="AB4" s="23">
        <f t="array" ref="AB4:AD4">FLEXCOMPBIAXRN($B$4,$B$5,$B$6,$B$12,$B$13,$B$14,$B$15,$B$8,$B$9,$B$10,$B$7,Z4,AA4,$B$3,$B$11)</f>
        <v>-359.61612870400688</v>
      </c>
      <c r="AC4" s="23">
        <v>392.78409764148569</v>
      </c>
      <c r="AD4" s="23">
        <v>1865.3586915419371</v>
      </c>
      <c r="AE4" s="2"/>
      <c r="AF4" s="23">
        <v>10</v>
      </c>
      <c r="AG4" s="23">
        <f t="shared" si="1"/>
        <v>34.100437885610845</v>
      </c>
      <c r="AH4" s="23">
        <f t="array" ref="AH4:AJ4">FLEXCOMPBIAXRN($B$4,$B$5,$B$6,$B$12,$B$13,$B$14,$B$15,$B$8,$B$9,$B$10,$B$7,AF4,AG4,$B$3,$B$11)</f>
        <v>-163.88117328354201</v>
      </c>
      <c r="AI4" s="23">
        <v>505.91231897233354</v>
      </c>
      <c r="AJ4" s="23">
        <v>3872.9470071043734</v>
      </c>
      <c r="AK4" s="2"/>
      <c r="AL4" s="23">
        <v>10</v>
      </c>
      <c r="AM4" s="23">
        <f t="shared" si="2"/>
        <v>17.837226910543187</v>
      </c>
      <c r="AN4" s="23">
        <f t="array" ref="AN4:AP4">FLEXCOMPBIAXRN($B$4,$B$5,$B$6,$B$12,$B$13,$B$14,$B$15,$B$8,$B$9,$B$10,$B$7,AL4,AM4,$B$3,$B$11)</f>
        <v>-34.197791073451114</v>
      </c>
      <c r="AO4" s="23">
        <v>667.63805805827212</v>
      </c>
      <c r="AP4" s="23">
        <v>3706.8156491952832</v>
      </c>
      <c r="AQ4" s="2"/>
      <c r="AR4" s="23">
        <v>122.30334566793682</v>
      </c>
      <c r="AS4" s="23">
        <v>-298.19356768913332</v>
      </c>
      <c r="AT4" s="23">
        <v>405.58457157602777</v>
      </c>
      <c r="AU4" s="23">
        <f t="shared" si="3"/>
        <v>500.3433262124347</v>
      </c>
      <c r="AY4" s="2"/>
    </row>
    <row r="5" spans="1:51" x14ac:dyDescent="0.2">
      <c r="A5" s="11" t="s">
        <v>1</v>
      </c>
      <c r="B5" s="12">
        <v>4.2</v>
      </c>
      <c r="C5" s="13"/>
      <c r="D5" s="13"/>
      <c r="E5" s="13"/>
      <c r="F5" s="13"/>
      <c r="G5" s="13"/>
      <c r="H5" s="14"/>
      <c r="I5" s="24"/>
      <c r="J5" s="13"/>
      <c r="K5" s="13"/>
      <c r="L5" s="13"/>
      <c r="M5" s="13"/>
      <c r="N5" s="13"/>
      <c r="O5" s="63"/>
      <c r="P5" s="14"/>
      <c r="Q5" s="20">
        <v>-58.550212860107422</v>
      </c>
      <c r="R5" s="21">
        <v>1629.3310546875</v>
      </c>
      <c r="S5" s="21">
        <v>547.05230712890625</v>
      </c>
      <c r="T5" s="22" t="s">
        <v>38</v>
      </c>
      <c r="U5" s="23">
        <f t="shared" si="4"/>
        <v>-340.90433217123103</v>
      </c>
      <c r="V5" s="2"/>
      <c r="W5" s="3" t="s">
        <v>45</v>
      </c>
      <c r="X5" s="5">
        <f>B5/B6*1000</f>
        <v>2</v>
      </c>
      <c r="Y5" s="2"/>
      <c r="Z5" s="23">
        <v>20</v>
      </c>
      <c r="AA5" s="23">
        <f t="shared" si="0"/>
        <v>63.260414357896849</v>
      </c>
      <c r="AB5" s="23">
        <f t="array" ref="AB5:AD5">FLEXCOMPBIAXRN($B$4,$B$5,$B$6,$B$12,$B$13,$B$14,$B$15,$B$8,$B$9,$B$10,$B$7,Z5,AA5,$B$3,$B$11)</f>
        <v>-359.61612870400688</v>
      </c>
      <c r="AC5" s="23">
        <v>776.94051147133109</v>
      </c>
      <c r="AD5" s="23">
        <v>1749.1035423681228</v>
      </c>
      <c r="AE5" s="2"/>
      <c r="AF5" s="23">
        <v>20</v>
      </c>
      <c r="AG5" s="23">
        <f t="shared" si="1"/>
        <v>38.012612997461659</v>
      </c>
      <c r="AH5" s="23">
        <f t="array" ref="AH5:AJ5">FLEXCOMPBIAXRN($B$4,$B$5,$B$6,$B$12,$B$13,$B$14,$B$15,$B$8,$B$9,$B$10,$B$7,AF5,AG5,$B$3,$B$11)</f>
        <v>-163.90480494700466</v>
      </c>
      <c r="AI5" s="23">
        <v>1023.5235521848904</v>
      </c>
      <c r="AJ5" s="23">
        <v>3563.5689063417349</v>
      </c>
      <c r="AK5" s="2"/>
      <c r="AL5" s="23">
        <v>20</v>
      </c>
      <c r="AM5" s="23">
        <f t="shared" si="2"/>
        <v>22.232737147189638</v>
      </c>
      <c r="AN5" s="23">
        <f t="array" ref="AN5:AP5">FLEXCOMPBIAXRN($B$4,$B$5,$B$6,$B$12,$B$13,$B$14,$B$15,$B$8,$B$9,$B$10,$B$7,AL5,AM5,$B$3,$B$11)</f>
        <v>-34.191037991668594</v>
      </c>
      <c r="AO5" s="23">
        <v>1387.7283411765618</v>
      </c>
      <c r="AP5" s="23">
        <v>3501.1707013071864</v>
      </c>
      <c r="AQ5" s="2"/>
      <c r="AR5" s="23">
        <v>75.513992510085842</v>
      </c>
      <c r="AS5" s="23">
        <v>-943.69563336463455</v>
      </c>
      <c r="AT5" s="23">
        <v>1368.005020433048</v>
      </c>
      <c r="AU5" s="23">
        <f t="shared" si="3"/>
        <v>1656.5749168819868</v>
      </c>
      <c r="AY5" s="2"/>
    </row>
    <row r="6" spans="1:51" x14ac:dyDescent="0.2">
      <c r="A6" s="11" t="s">
        <v>2</v>
      </c>
      <c r="B6" s="12">
        <v>2100</v>
      </c>
      <c r="C6" s="13"/>
      <c r="D6" s="13"/>
      <c r="E6" s="13"/>
      <c r="F6" s="13"/>
      <c r="G6" s="13"/>
      <c r="H6" s="14"/>
      <c r="I6" s="24"/>
      <c r="J6" s="13"/>
      <c r="K6" s="13"/>
      <c r="L6" s="13"/>
      <c r="M6" s="13"/>
      <c r="N6" s="13"/>
      <c r="O6" s="63"/>
      <c r="P6" s="14"/>
      <c r="Q6" s="20">
        <v>-62.382041931152344</v>
      </c>
      <c r="R6" s="21">
        <v>-1205.5528564453125</v>
      </c>
      <c r="S6" s="21">
        <v>-363.12210083007813</v>
      </c>
      <c r="T6" s="22" t="s">
        <v>38</v>
      </c>
      <c r="U6" s="23">
        <f t="shared" si="4"/>
        <v>288.30346422823487</v>
      </c>
      <c r="V6" s="2"/>
      <c r="W6" s="3" t="s">
        <v>6</v>
      </c>
      <c r="X6" s="5">
        <f>-X1*B4</f>
        <v>-0.17849999999999999</v>
      </c>
      <c r="Y6" s="2"/>
      <c r="Z6" s="23">
        <v>30</v>
      </c>
      <c r="AA6" s="23">
        <f t="shared" si="0"/>
        <v>65.853467557181148</v>
      </c>
      <c r="AB6" s="23">
        <f t="array" ref="AB6:AD6">FLEXCOMPBIAXRN($B$4,$B$5,$B$6,$B$12,$B$13,$B$14,$B$15,$B$8,$B$9,$B$10,$B$7,Z6,AA6,$B$3,$B$11)</f>
        <v>-359.60004901716638</v>
      </c>
      <c r="AC6" s="23">
        <v>1043.9415244207346</v>
      </c>
      <c r="AD6" s="23">
        <v>1592.711263326961</v>
      </c>
      <c r="AE6" s="2"/>
      <c r="AF6" s="23">
        <v>30</v>
      </c>
      <c r="AG6" s="23">
        <f t="shared" si="1"/>
        <v>40.980866333000606</v>
      </c>
      <c r="AH6" s="23">
        <f t="array" ref="AH6:AJ6">FLEXCOMPBIAXRN($B$4,$B$5,$B$6,$B$12,$B$13,$B$14,$B$15,$B$8,$B$9,$B$10,$B$7,AF6,AG6,$B$3,$B$11)</f>
        <v>-163.89115774583721</v>
      </c>
      <c r="AI6" s="23">
        <v>1535.1115436374428</v>
      </c>
      <c r="AJ6" s="23">
        <v>3194.2732550230548</v>
      </c>
      <c r="AK6" s="2"/>
      <c r="AL6" s="23">
        <v>30</v>
      </c>
      <c r="AM6" s="23">
        <f t="shared" si="2"/>
        <v>25.614331174035097</v>
      </c>
      <c r="AN6" s="23">
        <f t="array" ref="AN6:AP6">FLEXCOMPBIAXRN($B$4,$B$5,$B$6,$B$12,$B$13,$B$14,$B$15,$B$8,$B$9,$B$10,$B$7,AL6,AM6,$B$3,$B$11)</f>
        <v>-34.218617696955654</v>
      </c>
      <c r="AO6" s="23">
        <v>1986.3572518388123</v>
      </c>
      <c r="AP6" s="23">
        <v>3237.9342775938121</v>
      </c>
      <c r="AQ6" s="2"/>
      <c r="AR6" s="23">
        <v>28.6655358909996</v>
      </c>
      <c r="AS6" s="23">
        <v>-1487.7434974726</v>
      </c>
      <c r="AT6" s="23">
        <v>2215.7084620096557</v>
      </c>
      <c r="AU6" s="23">
        <f t="shared" si="3"/>
        <v>2662.7315642168096</v>
      </c>
      <c r="AY6" s="2"/>
    </row>
    <row r="7" spans="1:51" x14ac:dyDescent="0.2">
      <c r="A7" s="11" t="s">
        <v>109</v>
      </c>
      <c r="B7" s="12">
        <v>3</v>
      </c>
      <c r="C7" s="13"/>
      <c r="D7" s="13"/>
      <c r="E7" s="13"/>
      <c r="F7" s="13"/>
      <c r="G7" s="13"/>
      <c r="H7" s="14"/>
      <c r="I7" s="24"/>
      <c r="J7" s="13"/>
      <c r="K7" s="13"/>
      <c r="L7" s="13"/>
      <c r="M7" s="13"/>
      <c r="N7" s="13"/>
      <c r="O7" s="63"/>
      <c r="P7" s="14"/>
      <c r="Q7" s="20">
        <v>-75.894309997558594</v>
      </c>
      <c r="R7" s="21">
        <v>312.54409790039063</v>
      </c>
      <c r="S7" s="21">
        <v>124.21380615234375</v>
      </c>
      <c r="T7" s="22" t="s">
        <v>23</v>
      </c>
      <c r="U7" s="23">
        <f t="shared" si="4"/>
        <v>-48.69973732151</v>
      </c>
      <c r="V7" s="2"/>
      <c r="W7" s="3" t="s">
        <v>48</v>
      </c>
      <c r="X7" s="5">
        <f t="array" ref="X7:X9">MOMENTSPOLY(A45:B49)</f>
        <v>3025</v>
      </c>
      <c r="Y7" s="2"/>
      <c r="Z7" s="23">
        <v>40</v>
      </c>
      <c r="AA7" s="23">
        <f t="shared" si="0"/>
        <v>67.236066880478276</v>
      </c>
      <c r="AB7" s="23">
        <f t="array" ref="AB7:AD7">FLEXCOMPBIAXRN($B$4,$B$5,$B$6,$B$12,$B$13,$B$14,$B$15,$B$8,$B$9,$B$10,$B$7,Z7,AA7,$B$3,$B$11)</f>
        <v>-359.61612870400688</v>
      </c>
      <c r="AC7" s="23">
        <v>1241.5830079387883</v>
      </c>
      <c r="AD7" s="23">
        <v>1419.7594592430933</v>
      </c>
      <c r="AE7" s="2"/>
      <c r="AF7" s="23">
        <v>40</v>
      </c>
      <c r="AG7" s="23">
        <f t="shared" si="1"/>
        <v>42.584300575627097</v>
      </c>
      <c r="AH7" s="23">
        <f t="array" ref="AH7:AJ7">FLEXCOMPBIAXRN($B$4,$B$5,$B$6,$B$12,$B$13,$B$14,$B$15,$B$8,$B$9,$B$10,$B$7,AF7,AG7,$B$3,$B$11)</f>
        <v>-163.85579345793275</v>
      </c>
      <c r="AI7" s="23">
        <v>2114.952776432036</v>
      </c>
      <c r="AJ7" s="23">
        <v>2719.3219748803931</v>
      </c>
      <c r="AK7" s="2"/>
      <c r="AL7" s="23">
        <v>40</v>
      </c>
      <c r="AM7" s="23">
        <f t="shared" si="2"/>
        <v>27.261188282539745</v>
      </c>
      <c r="AN7" s="23">
        <f t="array" ref="AN7:AP7">FLEXCOMPBIAXRN($B$4,$B$5,$B$6,$B$12,$B$13,$B$14,$B$15,$B$8,$B$9,$B$10,$B$7,AL7,AM7,$B$3,$B$11)</f>
        <v>-34.182589887813407</v>
      </c>
      <c r="AO7" s="23">
        <v>2395.5120397863552</v>
      </c>
      <c r="AP7" s="23">
        <v>2808.8371071123152</v>
      </c>
      <c r="AQ7" s="2"/>
      <c r="AR7" s="23">
        <v>-34.204754331184823</v>
      </c>
      <c r="AS7" s="23">
        <v>-1986.3996072833286</v>
      </c>
      <c r="AT7" s="23">
        <v>3237.8599686324037</v>
      </c>
      <c r="AU7" s="23">
        <f t="shared" si="3"/>
        <v>3797.2687903740116</v>
      </c>
      <c r="AY7" s="2"/>
    </row>
    <row r="8" spans="1:51" x14ac:dyDescent="0.2">
      <c r="A8" s="11" t="s">
        <v>9</v>
      </c>
      <c r="B8" s="12">
        <v>2</v>
      </c>
      <c r="C8" s="13"/>
      <c r="D8" s="13"/>
      <c r="E8" s="13"/>
      <c r="F8" s="13"/>
      <c r="G8" s="13"/>
      <c r="H8" s="14"/>
      <c r="I8" s="24"/>
      <c r="J8" s="13"/>
      <c r="K8" s="13"/>
      <c r="L8" s="13"/>
      <c r="M8" s="13"/>
      <c r="N8" s="13"/>
      <c r="O8" s="13"/>
      <c r="P8" s="14"/>
      <c r="Q8" s="20">
        <v>-60.46612548828125</v>
      </c>
      <c r="R8" s="21">
        <v>211.88911437988281</v>
      </c>
      <c r="S8" s="21">
        <v>91.965080261230469</v>
      </c>
      <c r="T8" s="22" t="s">
        <v>38</v>
      </c>
      <c r="U8" s="23">
        <f t="shared" si="4"/>
        <v>-26.300461422641106</v>
      </c>
      <c r="V8" s="2"/>
      <c r="W8" s="3" t="s">
        <v>50</v>
      </c>
      <c r="X8" s="5">
        <v>83187.5</v>
      </c>
      <c r="Y8" s="2"/>
      <c r="Z8" s="23">
        <v>50</v>
      </c>
      <c r="AA8" s="23">
        <f t="shared" si="0"/>
        <v>67.236066880478276</v>
      </c>
      <c r="AB8" s="23">
        <f t="array" ref="AB8:AD8">FLEXCOMPBIAXRN($B$4,$B$5,$B$6,$B$12,$B$13,$B$14,$B$15,$B$8,$B$9,$B$10,$B$7,Z8,AA8,$B$3,$B$11)</f>
        <v>-359.61612870400688</v>
      </c>
      <c r="AC8" s="23">
        <v>1419.7594592430928</v>
      </c>
      <c r="AD8" s="23">
        <v>1241.5830079387881</v>
      </c>
      <c r="AE8" s="2"/>
      <c r="AF8" s="23">
        <v>50</v>
      </c>
      <c r="AG8" s="23">
        <f t="shared" si="1"/>
        <v>42.584300575627097</v>
      </c>
      <c r="AH8" s="23">
        <f t="array" ref="AH8:AJ8">FLEXCOMPBIAXRN($B$4,$B$5,$B$6,$B$12,$B$13,$B$14,$B$15,$B$8,$B$9,$B$10,$B$7,AF8,AG8,$B$3,$B$11)</f>
        <v>-163.85579345793278</v>
      </c>
      <c r="AI8" s="23">
        <v>2719.3219748803936</v>
      </c>
      <c r="AJ8" s="23">
        <v>2114.9527764320364</v>
      </c>
      <c r="AK8" s="2"/>
      <c r="AL8" s="23">
        <v>50</v>
      </c>
      <c r="AM8" s="23">
        <f t="shared" si="2"/>
        <v>27.261188282539745</v>
      </c>
      <c r="AN8" s="23">
        <f t="array" ref="AN8:AP8">FLEXCOMPBIAXRN($B$4,$B$5,$B$6,$B$12,$B$13,$B$14,$B$15,$B$8,$B$9,$B$10,$B$7,AL8,AM8,$B$3,$B$11)</f>
        <v>-34.182589887813393</v>
      </c>
      <c r="AO8" s="23">
        <v>2808.8371071123156</v>
      </c>
      <c r="AP8" s="23">
        <v>2395.5120397863561</v>
      </c>
      <c r="AQ8" s="2"/>
      <c r="AR8" s="23">
        <v>-79.164589210214885</v>
      </c>
      <c r="AS8" s="23">
        <v>-1884.2934037028576</v>
      </c>
      <c r="AT8" s="23">
        <v>3391.9325701582084</v>
      </c>
      <c r="AU8" s="23">
        <f t="shared" si="3"/>
        <v>3879.64647553228</v>
      </c>
      <c r="AY8" s="2"/>
    </row>
    <row r="9" spans="1:51" x14ac:dyDescent="0.2">
      <c r="A9" s="11" t="s">
        <v>10</v>
      </c>
      <c r="B9" s="12">
        <v>2</v>
      </c>
      <c r="C9" s="13"/>
      <c r="D9" s="13"/>
      <c r="E9" s="13"/>
      <c r="F9" s="13"/>
      <c r="G9" s="13"/>
      <c r="H9" s="14"/>
      <c r="I9" s="24"/>
      <c r="J9" s="13"/>
      <c r="K9" s="13"/>
      <c r="L9" s="13"/>
      <c r="M9" s="13"/>
      <c r="N9" s="13"/>
      <c r="O9" s="18">
        <v>0</v>
      </c>
      <c r="P9" s="14"/>
      <c r="Q9" s="20"/>
      <c r="R9" s="21"/>
      <c r="S9" s="21"/>
      <c r="T9" s="22"/>
      <c r="U9" s="23">
        <f t="shared" si="4"/>
        <v>0</v>
      </c>
      <c r="V9" s="2"/>
      <c r="W9" s="3" t="s">
        <v>55</v>
      </c>
      <c r="X9" s="5">
        <v>83187.5</v>
      </c>
      <c r="Y9" s="2"/>
      <c r="Z9" s="23">
        <v>60</v>
      </c>
      <c r="AA9" s="23">
        <f t="shared" si="0"/>
        <v>65.853467557181148</v>
      </c>
      <c r="AB9" s="23">
        <f t="array" ref="AB9:AD9">FLEXCOMPBIAXRN($B$4,$B$5,$B$6,$B$12,$B$13,$B$14,$B$15,$B$8,$B$9,$B$10,$B$7,Z9,AA9,$B$3,$B$11)</f>
        <v>-359.60004901716627</v>
      </c>
      <c r="AC9" s="23">
        <v>1592.7112633269603</v>
      </c>
      <c r="AD9" s="23">
        <v>1043.9415244207346</v>
      </c>
      <c r="AE9" s="2"/>
      <c r="AF9" s="23">
        <v>60</v>
      </c>
      <c r="AG9" s="23">
        <f t="shared" si="1"/>
        <v>40.980866333000606</v>
      </c>
      <c r="AH9" s="23">
        <f t="array" ref="AH9:AJ9">FLEXCOMPBIAXRN($B$4,$B$5,$B$6,$B$12,$B$13,$B$14,$B$15,$B$8,$B$9,$B$10,$B$7,AF9,AG9,$B$3,$B$11)</f>
        <v>-163.89115774583721</v>
      </c>
      <c r="AI9" s="23">
        <v>3194.2732550230539</v>
      </c>
      <c r="AJ9" s="23">
        <v>1535.111543637443</v>
      </c>
      <c r="AK9" s="2"/>
      <c r="AL9" s="23">
        <v>60</v>
      </c>
      <c r="AM9" s="23">
        <f t="shared" si="2"/>
        <v>25.614331174035097</v>
      </c>
      <c r="AN9" s="23">
        <f t="array" ref="AN9:AP9">FLEXCOMPBIAXRN($B$4,$B$5,$B$6,$B$12,$B$13,$B$14,$B$15,$B$8,$B$9,$B$10,$B$7,AL9,AM9,$B$3,$B$11)</f>
        <v>-34.218617696955612</v>
      </c>
      <c r="AO9" s="23">
        <v>3237.9342775938107</v>
      </c>
      <c r="AP9" s="23">
        <v>1986.3572518388125</v>
      </c>
      <c r="AQ9" s="2"/>
      <c r="AR9" s="23">
        <v>-137.40528919536274</v>
      </c>
      <c r="AS9" s="23">
        <v>-1667.445588014949</v>
      </c>
      <c r="AT9" s="23">
        <v>3349.870375228008</v>
      </c>
      <c r="AU9" s="23">
        <f t="shared" si="3"/>
        <v>3734.7956383398391</v>
      </c>
      <c r="AY9" s="2"/>
    </row>
    <row r="10" spans="1:51" x14ac:dyDescent="0.2">
      <c r="A10" s="11" t="s">
        <v>11</v>
      </c>
      <c r="B10" s="12">
        <v>1</v>
      </c>
      <c r="C10" s="13"/>
      <c r="D10" s="13"/>
      <c r="E10" s="13"/>
      <c r="F10" s="13"/>
      <c r="G10" s="13"/>
      <c r="H10" s="14"/>
      <c r="I10" s="24"/>
      <c r="J10" s="13"/>
      <c r="K10" s="13"/>
      <c r="L10" s="13"/>
      <c r="M10" s="13"/>
      <c r="N10" s="13"/>
      <c r="O10" s="23">
        <v>15</v>
      </c>
      <c r="P10" s="14"/>
      <c r="Q10" s="20"/>
      <c r="R10" s="21"/>
      <c r="S10" s="21"/>
      <c r="T10" s="22"/>
      <c r="U10" s="23">
        <f t="shared" si="4"/>
        <v>0</v>
      </c>
      <c r="V10" s="2"/>
      <c r="W10" s="3" t="s">
        <v>57</v>
      </c>
      <c r="X10" s="5">
        <f t="array" aca="1" ref="X10:X12" ca="1">MOMENTSPUNT(OFFSET($W$45,0,0,COUNT($W$45:$W$72),3))</f>
        <v>37.699111843077517</v>
      </c>
      <c r="Y10" s="2"/>
      <c r="Z10" s="23">
        <v>70</v>
      </c>
      <c r="AA10" s="23">
        <f t="shared" si="0"/>
        <v>63.260414357896849</v>
      </c>
      <c r="AB10" s="23">
        <f t="array" ref="AB10:AD10">FLEXCOMPBIAXRN($B$4,$B$5,$B$6,$B$12,$B$13,$B$14,$B$15,$B$8,$B$9,$B$10,$B$7,Z10,AA10,$B$3,$B$11)</f>
        <v>-359.61612870400688</v>
      </c>
      <c r="AC10" s="23">
        <v>1749.1035423681221</v>
      </c>
      <c r="AD10" s="23">
        <v>776.94051147133166</v>
      </c>
      <c r="AE10" s="2"/>
      <c r="AF10" s="23">
        <v>70</v>
      </c>
      <c r="AG10" s="23">
        <f t="shared" si="1"/>
        <v>38.012612997461659</v>
      </c>
      <c r="AH10" s="23">
        <f t="array" ref="AH10:AJ10">FLEXCOMPBIAXRN($B$4,$B$5,$B$6,$B$12,$B$13,$B$14,$B$15,$B$8,$B$9,$B$10,$B$7,AF10,AG10,$B$3,$B$11)</f>
        <v>-163.90480494700464</v>
      </c>
      <c r="AI10" s="23">
        <v>3563.568906341734</v>
      </c>
      <c r="AJ10" s="23">
        <v>1023.5235521848908</v>
      </c>
      <c r="AK10" s="2"/>
      <c r="AL10" s="23">
        <v>70</v>
      </c>
      <c r="AM10" s="23">
        <f t="shared" si="2"/>
        <v>22.232737147189638</v>
      </c>
      <c r="AN10" s="23">
        <f t="array" ref="AN10:AP10">FLEXCOMPBIAXRN($B$4,$B$5,$B$6,$B$12,$B$13,$B$14,$B$15,$B$8,$B$9,$B$10,$B$7,AL10,AM10,$B$3,$B$11)</f>
        <v>-34.19103799166853</v>
      </c>
      <c r="AO10" s="23">
        <v>3501.170701307185</v>
      </c>
      <c r="AP10" s="23">
        <v>1387.728341176562</v>
      </c>
      <c r="AQ10" s="2"/>
      <c r="AR10" s="23">
        <v>-163.89015055647877</v>
      </c>
      <c r="AS10" s="23">
        <v>-1535.1133727914241</v>
      </c>
      <c r="AT10" s="23">
        <v>3194.2742741778229</v>
      </c>
      <c r="AU10" s="23">
        <f t="shared" si="3"/>
        <v>3533.8793544888058</v>
      </c>
      <c r="AY10" s="2"/>
    </row>
    <row r="11" spans="1:51" x14ac:dyDescent="0.2">
      <c r="A11" s="11" t="s">
        <v>110</v>
      </c>
      <c r="B11" s="12">
        <v>0</v>
      </c>
      <c r="C11" s="13"/>
      <c r="D11" s="13"/>
      <c r="E11" s="13"/>
      <c r="F11" s="13"/>
      <c r="G11" s="13"/>
      <c r="H11" s="14"/>
      <c r="I11" s="24"/>
      <c r="J11" s="13"/>
      <c r="K11" s="13"/>
      <c r="L11" s="13"/>
      <c r="M11" s="13"/>
      <c r="N11" s="13"/>
      <c r="O11" s="23">
        <v>30</v>
      </c>
      <c r="P11" s="14"/>
      <c r="Q11" s="20"/>
      <c r="R11" s="21"/>
      <c r="S11" s="21"/>
      <c r="T11" s="22"/>
      <c r="U11" s="23">
        <f t="shared" si="4"/>
        <v>0</v>
      </c>
      <c r="V11" s="2"/>
      <c r="W11" s="3" t="s">
        <v>59</v>
      </c>
      <c r="X11" s="5">
        <f ca="1"/>
        <v>1036.7255756846316</v>
      </c>
      <c r="Y11" s="2"/>
      <c r="Z11" s="23">
        <v>80</v>
      </c>
      <c r="AA11" s="23">
        <f t="shared" si="0"/>
        <v>59.97107657801584</v>
      </c>
      <c r="AB11" s="23">
        <f t="array" ref="AB11:AD11">FLEXCOMPBIAXRN($B$4,$B$5,$B$6,$B$12,$B$13,$B$14,$B$15,$B$8,$B$9,$B$10,$B$7,Z11,AA11,$B$3,$B$11)</f>
        <v>-359.61612870400688</v>
      </c>
      <c r="AC11" s="23">
        <v>1865.3586915419382</v>
      </c>
      <c r="AD11" s="23">
        <v>392.7840976414862</v>
      </c>
      <c r="AE11" s="2"/>
      <c r="AF11" s="23">
        <v>80</v>
      </c>
      <c r="AG11" s="23">
        <f t="shared" si="1"/>
        <v>34.100437885610859</v>
      </c>
      <c r="AH11" s="23">
        <f t="array" ref="AH11:AJ11">FLEXCOMPBIAXRN($B$4,$B$5,$B$6,$B$12,$B$13,$B$14,$B$15,$B$8,$B$9,$B$10,$B$7,AF11,AG11,$B$3,$B$11)</f>
        <v>-163.8811732835421</v>
      </c>
      <c r="AI11" s="23">
        <v>3872.9470071043729</v>
      </c>
      <c r="AJ11" s="23">
        <v>505.91231897233388</v>
      </c>
      <c r="AK11" s="2"/>
      <c r="AL11" s="23">
        <v>80</v>
      </c>
      <c r="AM11" s="23">
        <f t="shared" si="2"/>
        <v>17.837226910543187</v>
      </c>
      <c r="AN11" s="23">
        <f t="array" ref="AN11:AP11">FLEXCOMPBIAXRN($B$4,$B$5,$B$6,$B$12,$B$13,$B$14,$B$15,$B$8,$B$9,$B$10,$B$7,AL11,AM11,$B$3,$B$11)</f>
        <v>-34.19779107345105</v>
      </c>
      <c r="AO11" s="23">
        <v>3706.8156491952832</v>
      </c>
      <c r="AP11" s="23">
        <v>667.63805805827246</v>
      </c>
      <c r="AQ11" s="2"/>
      <c r="AR11" s="23">
        <v>-206.1068536442213</v>
      </c>
      <c r="AS11" s="23">
        <v>-1461.3911728897899</v>
      </c>
      <c r="AT11" s="23">
        <v>3094.0784021725494</v>
      </c>
      <c r="AU11" s="23">
        <f t="shared" si="3"/>
        <v>3410.2460840270874</v>
      </c>
      <c r="AY11" s="2"/>
    </row>
    <row r="12" spans="1:51" x14ac:dyDescent="0.2">
      <c r="A12" s="11" t="s">
        <v>16</v>
      </c>
      <c r="B12" s="12">
        <v>55</v>
      </c>
      <c r="C12" s="13"/>
      <c r="D12" s="13"/>
      <c r="E12" s="13"/>
      <c r="F12" s="13"/>
      <c r="G12" s="13"/>
      <c r="H12" s="14"/>
      <c r="I12" s="24"/>
      <c r="J12" s="13"/>
      <c r="K12" s="13"/>
      <c r="L12" s="13"/>
      <c r="M12" s="13"/>
      <c r="N12" s="13"/>
      <c r="O12" s="23">
        <v>45</v>
      </c>
      <c r="P12" s="14"/>
      <c r="Q12" s="20"/>
      <c r="R12" s="21"/>
      <c r="S12" s="21"/>
      <c r="T12" s="22"/>
      <c r="U12" s="23">
        <f t="shared" si="4"/>
        <v>0</v>
      </c>
      <c r="V12" s="2"/>
      <c r="W12" s="3" t="s">
        <v>62</v>
      </c>
      <c r="X12" s="5">
        <f ca="1"/>
        <v>1036.7255756846316</v>
      </c>
      <c r="Y12" s="2"/>
      <c r="Z12" s="23">
        <v>90</v>
      </c>
      <c r="AA12" s="23">
        <f t="shared" si="0"/>
        <v>54.925308227539063</v>
      </c>
      <c r="AB12" s="23">
        <f t="array" ref="AB12:AD12">FLEXCOMPBIAXRN($B$4,$B$5,$B$6,$B$12,$B$13,$B$14,$B$15,$B$8,$B$9,$B$10,$B$7,Z12,AA12,$B$3,$B$11)</f>
        <v>-359.61612870400688</v>
      </c>
      <c r="AC12" s="23">
        <v>1926.3525317792391</v>
      </c>
      <c r="AD12" s="23">
        <v>8.9533363673238249E-14</v>
      </c>
      <c r="AE12" s="2"/>
      <c r="AF12" s="23">
        <v>90</v>
      </c>
      <c r="AG12" s="23">
        <f t="shared" si="1"/>
        <v>29.733200073242188</v>
      </c>
      <c r="AH12" s="23">
        <f t="array" ref="AH12:AJ12">FLEXCOMPBIAXRN($B$4,$B$5,$B$6,$B$12,$B$13,$B$14,$B$15,$B$8,$B$9,$B$10,$B$7,AF12,AG12,$B$3,$B$11)</f>
        <v>-163.89320064340507</v>
      </c>
      <c r="AI12" s="23">
        <v>4023.0019700492021</v>
      </c>
      <c r="AJ12" s="23">
        <v>1.8949440541840457E-13</v>
      </c>
      <c r="AK12" s="2"/>
      <c r="AL12" s="23">
        <v>90</v>
      </c>
      <c r="AM12" s="23">
        <f t="shared" si="2"/>
        <v>12.638015747070313</v>
      </c>
      <c r="AN12" s="23">
        <f t="array" ref="AN12:AP12">FLEXCOMPBIAXRN($B$4,$B$5,$B$6,$B$12,$B$13,$B$14,$B$15,$B$8,$B$9,$B$10,$B$7,AL12,AM12,$B$3,$B$11)</f>
        <v>-34.22338285160459</v>
      </c>
      <c r="AO12" s="23">
        <v>3760.3463827209757</v>
      </c>
      <c r="AP12" s="23">
        <v>1.7341138920342053E-13</v>
      </c>
      <c r="AQ12" s="2"/>
      <c r="AR12" s="23">
        <v>-254.87860964373328</v>
      </c>
      <c r="AS12" s="23">
        <v>-1394.2931307182671</v>
      </c>
      <c r="AT12" s="23">
        <v>2813.740260614542</v>
      </c>
      <c r="AU12" s="23">
        <f t="shared" si="3"/>
        <v>3133.9171107023735</v>
      </c>
      <c r="AY12" s="2"/>
    </row>
    <row r="13" spans="1:51" x14ac:dyDescent="0.2">
      <c r="A13" s="11" t="s">
        <v>17</v>
      </c>
      <c r="B13" s="12">
        <v>55</v>
      </c>
      <c r="C13" s="13"/>
      <c r="D13" s="13"/>
      <c r="E13" s="13"/>
      <c r="F13" s="13"/>
      <c r="G13" s="13"/>
      <c r="H13" s="14"/>
      <c r="I13" s="24"/>
      <c r="J13" s="13"/>
      <c r="K13" s="13"/>
      <c r="L13" s="13"/>
      <c r="M13" s="13"/>
      <c r="N13" s="13"/>
      <c r="O13" s="23">
        <v>60</v>
      </c>
      <c r="P13" s="14"/>
      <c r="Q13" s="20"/>
      <c r="R13" s="21"/>
      <c r="S13" s="21"/>
      <c r="T13" s="22"/>
      <c r="U13" s="23">
        <f t="shared" si="4"/>
        <v>0</v>
      </c>
      <c r="V13" s="2"/>
      <c r="W13" s="3" t="s">
        <v>64</v>
      </c>
      <c r="X13" s="5">
        <f ca="1">(-X9*X6+(B5+X6)*X12)/(-X6*X7+(B5+X6)*X10)</f>
        <v>27.500000000000004</v>
      </c>
      <c r="Y13" s="2"/>
      <c r="Z13" s="23">
        <v>100</v>
      </c>
      <c r="AA13" s="23">
        <f t="shared" si="0"/>
        <v>59.97107657801584</v>
      </c>
      <c r="AB13" s="23">
        <f t="array" ref="AB13:AD13">FLEXCOMPBIAXRN($B$4,$B$5,$B$6,$B$12,$B$13,$B$14,$B$15,$B$8,$B$9,$B$10,$B$7,Z13,AA13,$B$3,$B$11)</f>
        <v>-359.61612870400688</v>
      </c>
      <c r="AC13" s="23">
        <v>1865.3586915419376</v>
      </c>
      <c r="AD13" s="23">
        <v>-392.78409764148614</v>
      </c>
      <c r="AE13" s="2"/>
      <c r="AF13" s="23">
        <v>100</v>
      </c>
      <c r="AG13" s="23">
        <f t="shared" si="1"/>
        <v>34.100437885610845</v>
      </c>
      <c r="AH13" s="23">
        <f t="array" ref="AH13:AJ13">FLEXCOMPBIAXRN($B$4,$B$5,$B$6,$B$12,$B$13,$B$14,$B$15,$B$8,$B$9,$B$10,$B$7,AF13,AG13,$B$3,$B$11)</f>
        <v>-163.88117328354204</v>
      </c>
      <c r="AI13" s="23">
        <v>3872.9470071043743</v>
      </c>
      <c r="AJ13" s="23">
        <v>-505.91231897233365</v>
      </c>
      <c r="AK13" s="2"/>
      <c r="AL13" s="23">
        <v>100</v>
      </c>
      <c r="AM13" s="23">
        <f t="shared" si="2"/>
        <v>17.837226910543187</v>
      </c>
      <c r="AN13" s="23">
        <f t="array" ref="AN13:AP13">FLEXCOMPBIAXRN($B$4,$B$5,$B$6,$B$12,$B$13,$B$14,$B$15,$B$8,$B$9,$B$10,$B$7,AL13,AM13,$B$3,$B$11)</f>
        <v>-34.197791073451135</v>
      </c>
      <c r="AO13" s="23">
        <v>3706.815649195285</v>
      </c>
      <c r="AP13" s="23">
        <v>-667.63805805827235</v>
      </c>
      <c r="AQ13" s="2"/>
      <c r="AR13" s="23">
        <v>-313.22748512590442</v>
      </c>
      <c r="AS13" s="23">
        <v>-1294.9264498745126</v>
      </c>
      <c r="AT13" s="23">
        <v>2227.095349026466</v>
      </c>
      <c r="AU13" s="23">
        <f t="shared" si="3"/>
        <v>2576.1843738443467</v>
      </c>
      <c r="AY13" s="2"/>
    </row>
    <row r="14" spans="1:51" x14ac:dyDescent="0.2">
      <c r="A14" s="11" t="s">
        <v>107</v>
      </c>
      <c r="B14" s="12">
        <v>4</v>
      </c>
      <c r="C14" s="13"/>
      <c r="D14" s="13"/>
      <c r="E14" s="13"/>
      <c r="F14" s="13"/>
      <c r="G14" s="13"/>
      <c r="H14" s="14"/>
      <c r="I14" s="24"/>
      <c r="J14" s="13"/>
      <c r="K14" s="13"/>
      <c r="L14" s="13"/>
      <c r="M14" s="13"/>
      <c r="N14" s="13"/>
      <c r="O14" s="23">
        <v>75</v>
      </c>
      <c r="P14" s="14"/>
      <c r="Q14" s="20"/>
      <c r="R14" s="21"/>
      <c r="S14" s="21"/>
      <c r="T14" s="22"/>
      <c r="U14" s="23">
        <f t="shared" si="4"/>
        <v>0</v>
      </c>
      <c r="V14" s="2"/>
      <c r="W14" s="3" t="s">
        <v>66</v>
      </c>
      <c r="X14" s="5">
        <f ca="1">(-X8*X6+(B5+X6)*X11)/(-X6*X7+(B5+X6)*X10)</f>
        <v>27.500000000000004</v>
      </c>
      <c r="Y14" s="2"/>
      <c r="Z14" s="23">
        <v>110</v>
      </c>
      <c r="AA14" s="23">
        <f t="shared" si="0"/>
        <v>63.260414357896849</v>
      </c>
      <c r="AB14" s="23">
        <f t="array" ref="AB14:AD14">FLEXCOMPBIAXRN($B$4,$B$5,$B$6,$B$12,$B$13,$B$14,$B$15,$B$8,$B$9,$B$10,$B$7,Z14,AA14,$B$3,$B$11)</f>
        <v>-359.61612870400688</v>
      </c>
      <c r="AC14" s="23">
        <v>1749.1035423681228</v>
      </c>
      <c r="AD14" s="23">
        <v>-776.94051147133109</v>
      </c>
      <c r="AE14" s="2"/>
      <c r="AF14" s="23">
        <v>110</v>
      </c>
      <c r="AG14" s="23">
        <f t="shared" si="1"/>
        <v>38.012612997461659</v>
      </c>
      <c r="AH14" s="23">
        <f t="array" ref="AH14:AJ14">FLEXCOMPBIAXRN($B$4,$B$5,$B$6,$B$12,$B$13,$B$14,$B$15,$B$8,$B$9,$B$10,$B$7,AF14,AG14,$B$3,$B$11)</f>
        <v>-163.90480494700466</v>
      </c>
      <c r="AI14" s="23">
        <v>3563.5689063417349</v>
      </c>
      <c r="AJ14" s="23">
        <v>-1023.5235521848904</v>
      </c>
      <c r="AK14" s="2"/>
      <c r="AL14" s="23">
        <v>110</v>
      </c>
      <c r="AM14" s="23">
        <f t="shared" si="2"/>
        <v>22.232737147189638</v>
      </c>
      <c r="AN14" s="23">
        <f t="array" ref="AN14:AP14">FLEXCOMPBIAXRN($B$4,$B$5,$B$6,$B$12,$B$13,$B$14,$B$15,$B$8,$B$9,$B$10,$B$7,AL14,AM14,$B$3,$B$11)</f>
        <v>-34.19103799166858</v>
      </c>
      <c r="AO14" s="23">
        <v>3501.1707013071868</v>
      </c>
      <c r="AP14" s="23">
        <v>-1387.7283411765618</v>
      </c>
      <c r="AQ14" s="2"/>
      <c r="AR14" s="23">
        <v>-359.61612870400688</v>
      </c>
      <c r="AS14" s="23">
        <v>-930.59580067096567</v>
      </c>
      <c r="AT14" s="23">
        <v>1386.9893242020114</v>
      </c>
      <c r="AU14" s="23">
        <f t="shared" si="3"/>
        <v>1666.4658898722355</v>
      </c>
      <c r="AY14" s="2"/>
    </row>
    <row r="15" spans="1:51" x14ac:dyDescent="0.2">
      <c r="A15" s="11" t="s">
        <v>108</v>
      </c>
      <c r="B15" s="12">
        <v>4</v>
      </c>
      <c r="C15" s="13"/>
      <c r="D15" s="13"/>
      <c r="E15" s="13"/>
      <c r="F15" s="13"/>
      <c r="G15" s="13"/>
      <c r="H15" s="14"/>
      <c r="I15" s="24"/>
      <c r="J15" s="13"/>
      <c r="K15" s="13"/>
      <c r="L15" s="13"/>
      <c r="M15" s="13"/>
      <c r="N15" s="13"/>
      <c r="O15" s="23">
        <v>90</v>
      </c>
      <c r="P15" s="14"/>
      <c r="Q15" s="20"/>
      <c r="R15" s="21"/>
      <c r="S15" s="21"/>
      <c r="T15" s="22"/>
      <c r="U15" s="23">
        <f t="shared" si="4"/>
        <v>0</v>
      </c>
      <c r="V15" s="2"/>
      <c r="W15" s="3" t="s">
        <v>208</v>
      </c>
      <c r="X15" s="5">
        <f ca="1">MAX(F45:F49)</f>
        <v>37.565698604072068</v>
      </c>
      <c r="Y15" s="2"/>
      <c r="Z15" s="23">
        <v>120</v>
      </c>
      <c r="AA15" s="23">
        <f t="shared" si="0"/>
        <v>65.853467557181148</v>
      </c>
      <c r="AB15" s="23">
        <f t="array" ref="AB15:AD15">FLEXCOMPBIAXRN($B$4,$B$5,$B$6,$B$12,$B$13,$B$14,$B$15,$B$8,$B$9,$B$10,$B$7,Z15,AA15,$B$3,$B$11)</f>
        <v>-359.60004901716627</v>
      </c>
      <c r="AC15" s="23">
        <v>1592.7112633269608</v>
      </c>
      <c r="AD15" s="23">
        <v>-1043.9415244207344</v>
      </c>
      <c r="AE15" s="2"/>
      <c r="AF15" s="23">
        <v>120</v>
      </c>
      <c r="AG15" s="23">
        <f t="shared" si="1"/>
        <v>40.980866333000606</v>
      </c>
      <c r="AH15" s="23">
        <f t="array" ref="AH15:AJ15">FLEXCOMPBIAXRN($B$4,$B$5,$B$6,$B$12,$B$13,$B$14,$B$15,$B$8,$B$9,$B$10,$B$7,AF15,AG15,$B$3,$B$11)</f>
        <v>-163.89115774583723</v>
      </c>
      <c r="AI15" s="23">
        <v>3194.2732550230548</v>
      </c>
      <c r="AJ15" s="23">
        <v>-1535.1115436374421</v>
      </c>
      <c r="AK15" s="2"/>
      <c r="AL15" s="23">
        <v>120</v>
      </c>
      <c r="AM15" s="23">
        <f t="shared" si="2"/>
        <v>25.614331174035097</v>
      </c>
      <c r="AN15" s="23">
        <f t="array" ref="AN15:AP15">FLEXCOMPBIAXRN($B$4,$B$5,$B$6,$B$12,$B$13,$B$14,$B$15,$B$8,$B$9,$B$10,$B$7,AL15,AM15,$B$3,$B$11)</f>
        <v>-34.218617696955683</v>
      </c>
      <c r="AO15" s="23">
        <v>3237.9342775938117</v>
      </c>
      <c r="AP15" s="23">
        <v>-1986.3572518388114</v>
      </c>
      <c r="AQ15" s="2"/>
      <c r="AR15" s="23">
        <v>-359.61612870400688</v>
      </c>
      <c r="AS15" s="23">
        <v>-562.06021508745459</v>
      </c>
      <c r="AT15" s="23">
        <v>840.99981273011554</v>
      </c>
      <c r="AU15" s="23">
        <f t="shared" si="3"/>
        <v>1009.3573099459629</v>
      </c>
      <c r="AY15" s="2"/>
    </row>
    <row r="16" spans="1:51" x14ac:dyDescent="0.2">
      <c r="A16" s="55"/>
      <c r="B16" s="63"/>
      <c r="C16" s="13"/>
      <c r="D16" s="13"/>
      <c r="E16" s="13"/>
      <c r="F16" s="13"/>
      <c r="G16" s="13"/>
      <c r="H16" s="14"/>
      <c r="I16" s="24"/>
      <c r="J16" s="13"/>
      <c r="K16" s="13"/>
      <c r="L16" s="13"/>
      <c r="M16" s="13"/>
      <c r="N16" s="13"/>
      <c r="O16" s="23">
        <v>105</v>
      </c>
      <c r="P16" s="14"/>
      <c r="Q16" s="20"/>
      <c r="R16" s="21"/>
      <c r="S16" s="21"/>
      <c r="T16" s="22"/>
      <c r="U16" s="23">
        <f t="shared" si="4"/>
        <v>0</v>
      </c>
      <c r="V16" s="2"/>
      <c r="W16" s="3" t="s">
        <v>26</v>
      </c>
      <c r="X16" s="5">
        <f ca="1">MAX(OFFSET(AD45,0,0,COUNT($AD$45:$AD$72)))</f>
        <v>68.301270189221952</v>
      </c>
      <c r="Y16" s="2"/>
      <c r="Z16" s="23">
        <v>130</v>
      </c>
      <c r="AA16" s="23">
        <f t="shared" si="0"/>
        <v>67.236066880478276</v>
      </c>
      <c r="AB16" s="23">
        <f t="array" ref="AB16:AD16">FLEXCOMPBIAXRN($B$4,$B$5,$B$6,$B$12,$B$13,$B$14,$B$15,$B$8,$B$9,$B$10,$B$7,Z16,AA16,$B$3,$B$11)</f>
        <v>-359.61612870400688</v>
      </c>
      <c r="AC16" s="23">
        <v>1419.7594592430928</v>
      </c>
      <c r="AD16" s="23">
        <v>-1241.5830079387881</v>
      </c>
      <c r="AE16" s="2"/>
      <c r="AF16" s="23">
        <v>130</v>
      </c>
      <c r="AG16" s="23">
        <f t="shared" si="1"/>
        <v>42.584300575627097</v>
      </c>
      <c r="AH16" s="23">
        <f t="array" ref="AH16:AJ16">FLEXCOMPBIAXRN($B$4,$B$5,$B$6,$B$12,$B$13,$B$14,$B$15,$B$8,$B$9,$B$10,$B$7,AF16,AG16,$B$3,$B$11)</f>
        <v>-163.85579345793278</v>
      </c>
      <c r="AI16" s="23">
        <v>2719.3219748803936</v>
      </c>
      <c r="AJ16" s="23">
        <v>-2114.9527764320364</v>
      </c>
      <c r="AK16" s="2"/>
      <c r="AL16" s="23">
        <v>130</v>
      </c>
      <c r="AM16" s="23">
        <f t="shared" si="2"/>
        <v>27.261188282539745</v>
      </c>
      <c r="AN16" s="23">
        <f t="array" ref="AN16:AP16">FLEXCOMPBIAXRN($B$4,$B$5,$B$6,$B$12,$B$13,$B$14,$B$15,$B$8,$B$9,$B$10,$B$7,AL16,AM16,$B$3,$B$11)</f>
        <v>-34.182589887813364</v>
      </c>
      <c r="AO16" s="23">
        <v>2808.8371071123152</v>
      </c>
      <c r="AP16" s="23">
        <v>-2395.5120397863557</v>
      </c>
      <c r="AQ16" s="2"/>
      <c r="AR16" s="23">
        <v>-359.61612870400688</v>
      </c>
      <c r="AS16" s="23">
        <v>2.218574348758459E-13</v>
      </c>
      <c r="AT16" s="23">
        <v>1.0048308974753739E-13</v>
      </c>
      <c r="AU16" s="23">
        <f t="shared" si="3"/>
        <v>-2.3907809065804031E-14</v>
      </c>
      <c r="AY16" s="2"/>
    </row>
    <row r="17" spans="1:51" x14ac:dyDescent="0.2">
      <c r="A17" s="55"/>
      <c r="B17" s="63"/>
      <c r="C17" s="13"/>
      <c r="D17" s="13"/>
      <c r="E17" s="13"/>
      <c r="F17" s="13"/>
      <c r="G17" s="13"/>
      <c r="H17" s="14"/>
      <c r="I17" s="24"/>
      <c r="J17" s="13"/>
      <c r="K17" s="13"/>
      <c r="L17" s="13"/>
      <c r="M17" s="63"/>
      <c r="N17" s="63"/>
      <c r="O17" s="23">
        <v>120</v>
      </c>
      <c r="P17" s="14"/>
      <c r="Q17" s="20"/>
      <c r="R17" s="21"/>
      <c r="S17" s="21"/>
      <c r="T17" s="22"/>
      <c r="U17" s="23">
        <f t="shared" si="4"/>
        <v>0</v>
      </c>
      <c r="V17" s="2"/>
      <c r="W17" s="3" t="s">
        <v>34</v>
      </c>
      <c r="X17" s="5">
        <f ca="1">X16/(1-X2/X3)</f>
        <v>25.612976320958229</v>
      </c>
      <c r="Y17" s="2"/>
      <c r="Z17" s="23">
        <v>140</v>
      </c>
      <c r="AA17" s="23">
        <f t="shared" si="0"/>
        <v>67.236066880478276</v>
      </c>
      <c r="AB17" s="23">
        <f t="array" ref="AB17:AD17">FLEXCOMPBIAXRN($B$4,$B$5,$B$6,$B$12,$B$13,$B$14,$B$15,$B$8,$B$9,$B$10,$B$7,Z17,AA17,$B$3,$B$11)</f>
        <v>-359.61612870400688</v>
      </c>
      <c r="AC17" s="23">
        <v>1241.5830079387888</v>
      </c>
      <c r="AD17" s="23">
        <v>-1419.7594592430928</v>
      </c>
      <c r="AE17" s="2"/>
      <c r="AF17" s="23">
        <v>140</v>
      </c>
      <c r="AG17" s="23">
        <f t="shared" si="1"/>
        <v>42.584300575627097</v>
      </c>
      <c r="AH17" s="23">
        <f t="array" ref="AH17:AJ17">FLEXCOMPBIAXRN($B$4,$B$5,$B$6,$B$12,$B$13,$B$14,$B$15,$B$8,$B$9,$B$10,$B$7,AF17,AG17,$B$3,$B$11)</f>
        <v>-163.85579345793278</v>
      </c>
      <c r="AI17" s="23">
        <v>2114.9527764320364</v>
      </c>
      <c r="AJ17" s="23">
        <v>-2719.3219748803926</v>
      </c>
      <c r="AK17" s="2"/>
      <c r="AL17" s="23">
        <v>140</v>
      </c>
      <c r="AM17" s="23">
        <f t="shared" si="2"/>
        <v>27.261188282539745</v>
      </c>
      <c r="AN17" s="23">
        <f t="array" ref="AN17:AP17">FLEXCOMPBIAXRN($B$4,$B$5,$B$6,$B$12,$B$13,$B$14,$B$15,$B$8,$B$9,$B$10,$B$7,AL17,AM17,$B$3,$B$11)</f>
        <v>-34.182589887813364</v>
      </c>
      <c r="AO17" s="23">
        <v>2395.5120397863561</v>
      </c>
      <c r="AP17" s="23">
        <v>-2808.8371071123147</v>
      </c>
      <c r="AQ17" s="2"/>
      <c r="AR17" s="23">
        <f t="array" ref="AR17:AT30">DIAGRAFLEXCOMPRN(B4,B5,B6,B12,B13,B14,B15,B8,B9,B10,B7,G20+180,B3,B11)</f>
        <v>142.50264276683305</v>
      </c>
      <c r="AS17" s="23">
        <v>0</v>
      </c>
      <c r="AT17" s="23">
        <v>0</v>
      </c>
      <c r="AU17" s="23">
        <f t="shared" si="3"/>
        <v>0</v>
      </c>
      <c r="AY17" s="2"/>
    </row>
    <row r="18" spans="1:51" x14ac:dyDescent="0.2">
      <c r="A18" s="25" t="s">
        <v>188</v>
      </c>
      <c r="B18" s="13"/>
      <c r="C18" s="13"/>
      <c r="D18" s="13"/>
      <c r="E18" s="13"/>
      <c r="F18" s="13"/>
      <c r="G18" s="13"/>
      <c r="H18" s="14"/>
      <c r="I18" s="24"/>
      <c r="J18" s="13"/>
      <c r="K18" s="13"/>
      <c r="L18" s="13"/>
      <c r="M18" s="63"/>
      <c r="N18" s="63"/>
      <c r="O18" s="23">
        <v>135</v>
      </c>
      <c r="P18" s="14"/>
      <c r="Q18" s="20"/>
      <c r="R18" s="21"/>
      <c r="S18" s="21"/>
      <c r="T18" s="22"/>
      <c r="U18" s="23">
        <f t="shared" si="4"/>
        <v>0</v>
      </c>
      <c r="V18" s="2"/>
      <c r="W18" s="3" t="s">
        <v>37</v>
      </c>
      <c r="X18" s="5">
        <f ca="1">X16/(1-X5/X3)</f>
        <v>40.980762113533174</v>
      </c>
      <c r="Y18" s="2"/>
      <c r="Z18" s="23">
        <v>150</v>
      </c>
      <c r="AA18" s="23">
        <f t="shared" si="0"/>
        <v>65.853467557181148</v>
      </c>
      <c r="AB18" s="23">
        <f t="array" ref="AB18:AD18">FLEXCOMPBIAXRN($B$4,$B$5,$B$6,$B$12,$B$13,$B$14,$B$15,$B$8,$B$9,$B$10,$B$7,Z18,AA18,$B$3,$B$11)</f>
        <v>-359.60004901716633</v>
      </c>
      <c r="AC18" s="23">
        <v>1043.9415244207346</v>
      </c>
      <c r="AD18" s="23">
        <v>-1592.711263326961</v>
      </c>
      <c r="AE18" s="2"/>
      <c r="AF18" s="23">
        <v>150</v>
      </c>
      <c r="AG18" s="23">
        <f t="shared" si="1"/>
        <v>40.980866333000606</v>
      </c>
      <c r="AH18" s="23">
        <f t="array" ref="AH18:AJ18">FLEXCOMPBIAXRN($B$4,$B$5,$B$6,$B$12,$B$13,$B$14,$B$15,$B$8,$B$9,$B$10,$B$7,AF18,AG18,$B$3,$B$11)</f>
        <v>-163.89115774583721</v>
      </c>
      <c r="AI18" s="23">
        <v>1535.1115436374428</v>
      </c>
      <c r="AJ18" s="23">
        <v>-3194.2732550230548</v>
      </c>
      <c r="AK18" s="2"/>
      <c r="AL18" s="23">
        <v>150</v>
      </c>
      <c r="AM18" s="23">
        <f t="shared" si="2"/>
        <v>25.614331174035097</v>
      </c>
      <c r="AN18" s="23">
        <f t="array" ref="AN18:AP18">FLEXCOMPBIAXRN($B$4,$B$5,$B$6,$B$12,$B$13,$B$14,$B$15,$B$8,$B$9,$B$10,$B$7,AL18,AM18,$B$3,$B$11)</f>
        <v>-34.218617696955647</v>
      </c>
      <c r="AO18" s="23">
        <v>1986.3572518388121</v>
      </c>
      <c r="AP18" s="23">
        <v>-3237.9342775938117</v>
      </c>
      <c r="AQ18" s="2"/>
      <c r="AR18" s="23">
        <v>122.30334566793678</v>
      </c>
      <c r="AS18" s="23">
        <v>298.1935676891332</v>
      </c>
      <c r="AT18" s="23">
        <v>-405.58457157602811</v>
      </c>
      <c r="AU18" s="23">
        <f t="shared" si="3"/>
        <v>-500.34332621243493</v>
      </c>
      <c r="AY18" s="2"/>
    </row>
    <row r="19" spans="1:51" x14ac:dyDescent="0.2">
      <c r="A19" s="52" t="str">
        <f>"Curve "&amp;G20/15+1</f>
        <v>Curve 23</v>
      </c>
      <c r="B19" s="61" t="str">
        <f>G20&amp;" degrees"</f>
        <v>330 degrees</v>
      </c>
      <c r="C19" s="53"/>
      <c r="D19" s="9"/>
      <c r="E19" s="65"/>
      <c r="F19" s="65"/>
      <c r="G19" s="65"/>
      <c r="H19" s="10"/>
      <c r="I19" s="24"/>
      <c r="J19" s="13"/>
      <c r="K19" s="13"/>
      <c r="L19" s="13"/>
      <c r="M19" s="13"/>
      <c r="N19" s="13"/>
      <c r="O19" s="23">
        <v>150</v>
      </c>
      <c r="P19" s="14"/>
      <c r="Q19" s="20"/>
      <c r="R19" s="21"/>
      <c r="S19" s="21"/>
      <c r="T19" s="22"/>
      <c r="U19" s="23">
        <f t="shared" si="4"/>
        <v>0</v>
      </c>
      <c r="V19" s="2"/>
      <c r="W19" s="2"/>
      <c r="X19" s="2"/>
      <c r="Y19" s="2"/>
      <c r="Z19" s="23">
        <v>160</v>
      </c>
      <c r="AA19" s="23">
        <f t="shared" si="0"/>
        <v>63.260414357896849</v>
      </c>
      <c r="AB19" s="23">
        <f t="array" ref="AB19:AD19">FLEXCOMPBIAXRN($B$4,$B$5,$B$6,$B$12,$B$13,$B$14,$B$15,$B$8,$B$9,$B$10,$B$7,Z19,AA19,$B$3,$B$11)</f>
        <v>-359.61612870400688</v>
      </c>
      <c r="AC19" s="23">
        <v>776.94051147133155</v>
      </c>
      <c r="AD19" s="23">
        <v>-1749.1035423681219</v>
      </c>
      <c r="AE19" s="2"/>
      <c r="AF19" s="23">
        <v>160</v>
      </c>
      <c r="AG19" s="23">
        <f t="shared" si="1"/>
        <v>38.012612997461659</v>
      </c>
      <c r="AH19" s="23">
        <f t="array" ref="AH19:AJ19">FLEXCOMPBIAXRN($B$4,$B$5,$B$6,$B$12,$B$13,$B$14,$B$15,$B$8,$B$9,$B$10,$B$7,AF19,AG19,$B$3,$B$11)</f>
        <v>-163.90480494700464</v>
      </c>
      <c r="AI19" s="23">
        <v>1023.5235521848909</v>
      </c>
      <c r="AJ19" s="23">
        <v>-3563.568906341734</v>
      </c>
      <c r="AK19" s="2"/>
      <c r="AL19" s="23">
        <v>160</v>
      </c>
      <c r="AM19" s="23">
        <f t="shared" si="2"/>
        <v>22.232737147189638</v>
      </c>
      <c r="AN19" s="23">
        <f t="array" ref="AN19:AP19">FLEXCOMPBIAXRN($B$4,$B$5,$B$6,$B$12,$B$13,$B$14,$B$15,$B$8,$B$9,$B$10,$B$7,AL19,AM19,$B$3,$B$11)</f>
        <v>-34.191037991668551</v>
      </c>
      <c r="AO19" s="23">
        <v>1387.7283411765623</v>
      </c>
      <c r="AP19" s="23">
        <v>-3501.170701307185</v>
      </c>
      <c r="AQ19" s="2"/>
      <c r="AR19" s="23">
        <v>75.513992510085828</v>
      </c>
      <c r="AS19" s="23">
        <v>943.69563336463386</v>
      </c>
      <c r="AT19" s="23">
        <v>-1368.0050204330491</v>
      </c>
      <c r="AU19" s="23">
        <f t="shared" si="3"/>
        <v>-1656.5749168819875</v>
      </c>
      <c r="AY19" s="2"/>
    </row>
    <row r="20" spans="1:51" x14ac:dyDescent="0.2">
      <c r="A20" s="3" t="str">
        <f>DiagramSAP2000!H2</f>
        <v>P</v>
      </c>
      <c r="B20" s="3" t="str">
        <f>DiagramSAP2000!I2</f>
        <v>M3</v>
      </c>
      <c r="C20" s="3" t="str">
        <f>DiagramSAP2000!J2</f>
        <v>M2</v>
      </c>
      <c r="D20" s="6" t="s">
        <v>32</v>
      </c>
      <c r="E20" s="63"/>
      <c r="F20" s="6" t="s">
        <v>18</v>
      </c>
      <c r="G20" s="12">
        <v>330</v>
      </c>
      <c r="H20" s="45"/>
      <c r="I20" s="24"/>
      <c r="J20" s="13"/>
      <c r="K20" s="13"/>
      <c r="L20" s="13"/>
      <c r="M20" s="13"/>
      <c r="N20" s="13"/>
      <c r="O20" s="23">
        <v>165</v>
      </c>
      <c r="P20" s="14"/>
      <c r="Q20" s="20"/>
      <c r="R20" s="21"/>
      <c r="S20" s="21"/>
      <c r="T20" s="22"/>
      <c r="U20" s="23">
        <f t="shared" si="4"/>
        <v>0</v>
      </c>
      <c r="V20" s="2"/>
      <c r="W20" s="2"/>
      <c r="X20" s="2"/>
      <c r="Y20" s="2"/>
      <c r="Z20" s="23">
        <v>170</v>
      </c>
      <c r="AA20" s="23">
        <f t="shared" si="0"/>
        <v>59.97107657801584</v>
      </c>
      <c r="AB20" s="23">
        <f t="array" ref="AB20:AD20">FLEXCOMPBIAXRN($B$4,$B$5,$B$6,$B$12,$B$13,$B$14,$B$15,$B$8,$B$9,$B$10,$B$7,Z20,AA20,$B$3,$B$11)</f>
        <v>-359.61612870400688</v>
      </c>
      <c r="AC20" s="23">
        <v>392.78409764148614</v>
      </c>
      <c r="AD20" s="23">
        <v>-1865.3586915419378</v>
      </c>
      <c r="AE20" s="2"/>
      <c r="AF20" s="23">
        <v>170</v>
      </c>
      <c r="AG20" s="23">
        <f t="shared" si="1"/>
        <v>34.100437885610845</v>
      </c>
      <c r="AH20" s="23">
        <f t="array" ref="AH20:AJ20">FLEXCOMPBIAXRN($B$4,$B$5,$B$6,$B$12,$B$13,$B$14,$B$15,$B$8,$B$9,$B$10,$B$7,AF20,AG20,$B$3,$B$11)</f>
        <v>-163.88117328354201</v>
      </c>
      <c r="AI20" s="23">
        <v>505.91231897233359</v>
      </c>
      <c r="AJ20" s="23">
        <v>-3872.9470071043743</v>
      </c>
      <c r="AK20" s="2"/>
      <c r="AL20" s="23">
        <v>170</v>
      </c>
      <c r="AM20" s="23">
        <f t="shared" si="2"/>
        <v>17.837226910543187</v>
      </c>
      <c r="AN20" s="23">
        <f t="array" ref="AN20:AP20">FLEXCOMPBIAXRN($B$4,$B$5,$B$6,$B$12,$B$13,$B$14,$B$15,$B$8,$B$9,$B$10,$B$7,AL20,AM20,$B$3,$B$11)</f>
        <v>-34.197791073451135</v>
      </c>
      <c r="AO20" s="23">
        <v>667.63805805827212</v>
      </c>
      <c r="AP20" s="23">
        <v>-3706.815649195285</v>
      </c>
      <c r="AQ20" s="2"/>
      <c r="AR20" s="23">
        <v>28.665535890999607</v>
      </c>
      <c r="AS20" s="23">
        <v>1487.7434974725984</v>
      </c>
      <c r="AT20" s="23">
        <v>-2215.7084620096557</v>
      </c>
      <c r="AU20" s="23">
        <f t="shared" si="3"/>
        <v>-2662.7315642168087</v>
      </c>
      <c r="AY20" s="2"/>
    </row>
    <row r="21" spans="1:51" x14ac:dyDescent="0.2">
      <c r="A21" s="47">
        <f>INDEX(DiagramSAP2000!$B$3:$BU$13,1,$L$24-2)</f>
        <v>-359.57619999999997</v>
      </c>
      <c r="B21" s="47">
        <f>INDEX(DiagramSAP2000!$B$3:$BU$13,1,$L$24-1)</f>
        <v>0</v>
      </c>
      <c r="C21" s="47">
        <f>INDEX(DiagramSAP2000!$B$3:$BU$13,1,$L$24)</f>
        <v>0</v>
      </c>
      <c r="D21" s="18">
        <f t="shared" ref="D21:D42" si="5">B21*COS($X$4)+C21*SIN($X$4)</f>
        <v>0</v>
      </c>
      <c r="E21" s="63"/>
      <c r="F21" s="63"/>
      <c r="G21" s="63"/>
      <c r="H21" s="45"/>
      <c r="I21" s="34"/>
      <c r="J21" s="35"/>
      <c r="K21" s="35"/>
      <c r="L21" s="35"/>
      <c r="M21" s="35"/>
      <c r="N21" s="35"/>
      <c r="O21" s="27">
        <v>180</v>
      </c>
      <c r="P21" s="37"/>
      <c r="Q21" s="20"/>
      <c r="R21" s="21"/>
      <c r="S21" s="21"/>
      <c r="T21" s="22"/>
      <c r="U21" s="23">
        <f t="shared" si="4"/>
        <v>0</v>
      </c>
      <c r="V21" s="2"/>
      <c r="W21" s="2"/>
      <c r="X21" s="2"/>
      <c r="Y21" s="2"/>
      <c r="Z21" s="23">
        <v>180</v>
      </c>
      <c r="AA21" s="23">
        <f t="shared" si="0"/>
        <v>54.925308227539077</v>
      </c>
      <c r="AB21" s="23">
        <f t="array" ref="AB21:AD21">FLEXCOMPBIAXRN($B$4,$B$5,$B$6,$B$12,$B$13,$B$14,$B$15,$B$8,$B$9,$B$10,$B$7,Z21,AA21,$B$3,$B$11)</f>
        <v>-359.61612870400688</v>
      </c>
      <c r="AC21" s="23">
        <v>4.8079727900153132E-13</v>
      </c>
      <c r="AD21" s="23">
        <v>-1926.3525317792373</v>
      </c>
      <c r="AE21" s="2"/>
      <c r="AF21" s="23">
        <v>180</v>
      </c>
      <c r="AG21" s="23">
        <f t="shared" si="1"/>
        <v>29.733200073242195</v>
      </c>
      <c r="AH21" s="23">
        <f t="array" ref="AH21:AJ21">FLEXCOMPBIAXRN($B$4,$B$5,$B$6,$B$12,$B$13,$B$14,$B$15,$B$8,$B$9,$B$10,$B$7,AF21,AG21,$B$3,$B$11)</f>
        <v>-163.89320064340507</v>
      </c>
      <c r="AI21" s="23">
        <v>3.5511693701457822E-13</v>
      </c>
      <c r="AJ21" s="23">
        <v>-4023.0019700492021</v>
      </c>
      <c r="AK21" s="2"/>
      <c r="AL21" s="23">
        <v>180</v>
      </c>
      <c r="AM21" s="23">
        <f t="shared" si="2"/>
        <v>12.638015747070316</v>
      </c>
      <c r="AN21" s="23">
        <f t="array" ref="AN21:AP21">FLEXCOMPBIAXRN($B$4,$B$5,$B$6,$B$12,$B$13,$B$14,$B$15,$B$8,$B$9,$B$10,$B$7,AL21,AM21,$B$3,$B$11)</f>
        <v>-34.22338285160459</v>
      </c>
      <c r="AO21" s="23">
        <v>4.961641843152286E-13</v>
      </c>
      <c r="AP21" s="23">
        <v>-3760.3463827209757</v>
      </c>
      <c r="AQ21" s="2"/>
      <c r="AR21" s="23">
        <v>-34.204754331184851</v>
      </c>
      <c r="AS21" s="23">
        <v>1986.3996072833268</v>
      </c>
      <c r="AT21" s="23">
        <v>-3237.859968632406</v>
      </c>
      <c r="AU21" s="23">
        <f t="shared" si="3"/>
        <v>-3797.268790374013</v>
      </c>
      <c r="AY21" s="2"/>
    </row>
    <row r="22" spans="1:51" x14ac:dyDescent="0.2">
      <c r="A22" s="46">
        <f>INDEX(DiagramSAP2000!$B$3:$BU$13,2,$L$24-2)</f>
        <v>-359.57619999999997</v>
      </c>
      <c r="B22" s="46">
        <f>INDEX(DiagramSAP2000!$B$3:$BU$13,2,$L$24-1)</f>
        <v>678.04790000000003</v>
      </c>
      <c r="C22" s="46">
        <f>INDEX(DiagramSAP2000!$B$3:$BU$13,2,$L$24)</f>
        <v>-436.46800000000002</v>
      </c>
      <c r="D22" s="23">
        <f t="shared" si="5"/>
        <v>805.44070638269068</v>
      </c>
      <c r="H22" s="45"/>
      <c r="I22" s="62"/>
      <c r="J22" s="9"/>
      <c r="K22" s="9"/>
      <c r="L22" s="9"/>
      <c r="M22" s="9"/>
      <c r="N22" s="9"/>
      <c r="O22" s="18">
        <v>195</v>
      </c>
      <c r="P22" s="10"/>
      <c r="Q22" s="20"/>
      <c r="R22" s="21"/>
      <c r="S22" s="21"/>
      <c r="T22" s="22"/>
      <c r="U22" s="23">
        <f t="shared" si="4"/>
        <v>0</v>
      </c>
      <c r="V22" s="2"/>
      <c r="Y22" s="2"/>
      <c r="Z22" s="23">
        <v>190</v>
      </c>
      <c r="AA22" s="23">
        <f t="shared" si="0"/>
        <v>59.971076578015825</v>
      </c>
      <c r="AB22" s="23">
        <f t="array" ref="AB22:AD22">FLEXCOMPBIAXRN($B$4,$B$5,$B$6,$B$12,$B$13,$B$14,$B$15,$B$8,$B$9,$B$10,$B$7,Z22,AA22,$B$3,$B$11)</f>
        <v>-359.61612870400688</v>
      </c>
      <c r="AC22" s="23">
        <v>-392.78409764148523</v>
      </c>
      <c r="AD22" s="23">
        <v>-1865.3586915419398</v>
      </c>
      <c r="AE22" s="2"/>
      <c r="AF22" s="23">
        <v>190</v>
      </c>
      <c r="AG22" s="23">
        <f t="shared" si="1"/>
        <v>34.100437885610845</v>
      </c>
      <c r="AH22" s="23">
        <f t="array" ref="AH22:AJ22">FLEXCOMPBIAXRN($B$4,$B$5,$B$6,$B$12,$B$13,$B$14,$B$15,$B$8,$B$9,$B$10,$B$7,AF22,AG22,$B$3,$B$11)</f>
        <v>-163.8811732835421</v>
      </c>
      <c r="AI22" s="23">
        <v>-505.91231897233257</v>
      </c>
      <c r="AJ22" s="23">
        <v>-3872.9470071043747</v>
      </c>
      <c r="AK22" s="2"/>
      <c r="AL22" s="23">
        <v>190</v>
      </c>
      <c r="AM22" s="23">
        <f t="shared" si="2"/>
        <v>17.837226910543187</v>
      </c>
      <c r="AN22" s="23">
        <f t="array" ref="AN22:AP22">FLEXCOMPBIAXRN($B$4,$B$5,$B$6,$B$12,$B$13,$B$14,$B$15,$B$8,$B$9,$B$10,$B$7,AL22,AM22,$B$3,$B$11)</f>
        <v>-34.197791073451214</v>
      </c>
      <c r="AO22" s="23">
        <v>-667.63805805827121</v>
      </c>
      <c r="AP22" s="23">
        <v>-3706.8156491952864</v>
      </c>
      <c r="AQ22" s="2"/>
      <c r="AR22" s="23">
        <v>-79.16458921021497</v>
      </c>
      <c r="AS22" s="23">
        <v>1884.2934037028554</v>
      </c>
      <c r="AT22" s="23">
        <v>-3391.9325701582115</v>
      </c>
      <c r="AU22" s="23">
        <f t="shared" si="3"/>
        <v>-3879.6464755322818</v>
      </c>
      <c r="AY22" s="2"/>
    </row>
    <row r="23" spans="1:51" x14ac:dyDescent="0.2">
      <c r="A23" s="46">
        <f>INDEX(DiagramSAP2000!$B$3:$BU$13,3,$L$24-2)</f>
        <v>-359.57619999999997</v>
      </c>
      <c r="B23" s="46">
        <f>INDEX(DiagramSAP2000!$B$3:$BU$13,3,$L$24-1)</f>
        <v>1312.7938999999999</v>
      </c>
      <c r="C23" s="46">
        <f>INDEX(DiagramSAP2000!$B$3:$BU$13,3,$L$24)</f>
        <v>-887.93970000000002</v>
      </c>
      <c r="D23" s="23">
        <f t="shared" si="5"/>
        <v>1580.8827173332479</v>
      </c>
      <c r="H23" s="45"/>
      <c r="I23" s="24"/>
      <c r="J23" s="13"/>
      <c r="K23" s="13"/>
      <c r="L23" s="13"/>
      <c r="M23" s="13"/>
      <c r="N23" s="13"/>
      <c r="O23" s="23">
        <v>210</v>
      </c>
      <c r="P23" s="14"/>
      <c r="Q23" s="20"/>
      <c r="R23" s="21"/>
      <c r="S23" s="21"/>
      <c r="T23" s="22"/>
      <c r="U23" s="23">
        <f t="shared" si="4"/>
        <v>0</v>
      </c>
      <c r="Y23" s="2"/>
      <c r="Z23" s="23">
        <v>200</v>
      </c>
      <c r="AA23" s="23">
        <f t="shared" si="0"/>
        <v>63.260414357896849</v>
      </c>
      <c r="AB23" s="23">
        <f t="array" ref="AB23:AD23">FLEXCOMPBIAXRN($B$4,$B$5,$B$6,$B$12,$B$13,$B$14,$B$15,$B$8,$B$9,$B$10,$B$7,Z23,AA23,$B$3,$B$11)</f>
        <v>-359.61612870400688</v>
      </c>
      <c r="AC23" s="23">
        <v>-776.94051147133052</v>
      </c>
      <c r="AD23" s="23">
        <v>-1749.1035423681208</v>
      </c>
      <c r="AE23" s="2"/>
      <c r="AF23" s="23">
        <v>200</v>
      </c>
      <c r="AG23" s="23">
        <f t="shared" si="1"/>
        <v>38.012612997461645</v>
      </c>
      <c r="AH23" s="23">
        <f t="array" ref="AH23:AJ23">FLEXCOMPBIAXRN($B$4,$B$5,$B$6,$B$12,$B$13,$B$14,$B$15,$B$8,$B$9,$B$10,$B$7,AF23,AG23,$B$3,$B$11)</f>
        <v>-163.90480494700455</v>
      </c>
      <c r="AI23" s="23">
        <v>-1023.5235521848905</v>
      </c>
      <c r="AJ23" s="23">
        <v>-3563.5689063417349</v>
      </c>
      <c r="AK23" s="2"/>
      <c r="AL23" s="23">
        <v>200</v>
      </c>
      <c r="AM23" s="23">
        <f t="shared" si="2"/>
        <v>22.232737147189638</v>
      </c>
      <c r="AN23" s="23">
        <f t="array" ref="AN23:AP23">FLEXCOMPBIAXRN($B$4,$B$5,$B$6,$B$12,$B$13,$B$14,$B$15,$B$8,$B$9,$B$10,$B$7,AL23,AM23,$B$3,$B$11)</f>
        <v>-34.191037991668651</v>
      </c>
      <c r="AO23" s="23">
        <v>-1387.7283411765613</v>
      </c>
      <c r="AP23" s="23">
        <v>-3501.1707013071868</v>
      </c>
      <c r="AQ23" s="2"/>
      <c r="AR23" s="23">
        <v>-137.4052891953628</v>
      </c>
      <c r="AS23" s="23">
        <v>1667.4455880149467</v>
      </c>
      <c r="AT23" s="23">
        <v>-3349.8703752280107</v>
      </c>
      <c r="AU23" s="23">
        <f t="shared" si="3"/>
        <v>-3734.79563833984</v>
      </c>
      <c r="AY23" s="2"/>
    </row>
    <row r="24" spans="1:51" x14ac:dyDescent="0.2">
      <c r="A24" s="46">
        <f>INDEX(DiagramSAP2000!$B$3:$BU$13,4,$L$24-2)</f>
        <v>-320.20080000000002</v>
      </c>
      <c r="B24" s="46">
        <f>INDEX(DiagramSAP2000!$B$3:$BU$13,4,$L$24-1)</f>
        <v>2117.7609000000002</v>
      </c>
      <c r="C24" s="46">
        <f>INDEX(DiagramSAP2000!$B$3:$BU$13,4,$L$24)</f>
        <v>-1264.7670000000001</v>
      </c>
      <c r="D24" s="23">
        <f t="shared" si="5"/>
        <v>2466.4182385413965</v>
      </c>
      <c r="H24" s="45"/>
      <c r="I24" s="24"/>
      <c r="J24" s="13"/>
      <c r="K24" s="13"/>
      <c r="L24" s="51">
        <f>(G20/15+1)*3</f>
        <v>69</v>
      </c>
      <c r="M24" s="13"/>
      <c r="N24" s="13"/>
      <c r="O24" s="23">
        <v>225</v>
      </c>
      <c r="P24" s="14"/>
      <c r="Q24" s="20"/>
      <c r="R24" s="21"/>
      <c r="S24" s="21"/>
      <c r="T24" s="22"/>
      <c r="U24" s="23">
        <f t="shared" si="4"/>
        <v>0</v>
      </c>
      <c r="Y24" s="2"/>
      <c r="Z24" s="23">
        <v>210</v>
      </c>
      <c r="AA24" s="23">
        <f t="shared" si="0"/>
        <v>65.853467557181148</v>
      </c>
      <c r="AB24" s="23">
        <f t="array" ref="AB24:AD24">FLEXCOMPBIAXRN($B$4,$B$5,$B$6,$B$12,$B$13,$B$14,$B$15,$B$8,$B$9,$B$10,$B$7,Z24,AA24,$B$3,$B$11)</f>
        <v>-359.60004901716638</v>
      </c>
      <c r="AC24" s="23">
        <v>-1043.9415244207344</v>
      </c>
      <c r="AD24" s="23">
        <v>-1592.7112633269612</v>
      </c>
      <c r="AE24" s="2"/>
      <c r="AF24" s="23">
        <v>210</v>
      </c>
      <c r="AG24" s="23">
        <f t="shared" si="1"/>
        <v>40.980866333000606</v>
      </c>
      <c r="AH24" s="23">
        <f t="array" ref="AH24:AJ24">FLEXCOMPBIAXRN($B$4,$B$5,$B$6,$B$12,$B$13,$B$14,$B$15,$B$8,$B$9,$B$10,$B$7,AF24,AG24,$B$3,$B$11)</f>
        <v>-163.89115774583723</v>
      </c>
      <c r="AI24" s="23">
        <v>-1535.1115436374419</v>
      </c>
      <c r="AJ24" s="23">
        <v>-3194.2732550230553</v>
      </c>
      <c r="AK24" s="2"/>
      <c r="AL24" s="23">
        <v>210</v>
      </c>
      <c r="AM24" s="23">
        <f t="shared" si="2"/>
        <v>25.614331174035097</v>
      </c>
      <c r="AN24" s="23">
        <f t="array" ref="AN24:AP24">FLEXCOMPBIAXRN($B$4,$B$5,$B$6,$B$12,$B$13,$B$14,$B$15,$B$8,$B$9,$B$10,$B$7,AL24,AM24,$B$3,$B$11)</f>
        <v>-34.218617696955683</v>
      </c>
      <c r="AO24" s="23">
        <v>-1986.3572518388116</v>
      </c>
      <c r="AP24" s="23">
        <v>-3237.9342775938126</v>
      </c>
      <c r="AQ24" s="2"/>
      <c r="AR24" s="23">
        <v>-163.89015055647877</v>
      </c>
      <c r="AS24" s="23">
        <v>1535.1133727914219</v>
      </c>
      <c r="AT24" s="23">
        <v>-3194.2742741778252</v>
      </c>
      <c r="AU24" s="23">
        <f t="shared" si="3"/>
        <v>-3533.8793544888063</v>
      </c>
      <c r="AY24" s="2"/>
    </row>
    <row r="25" spans="1:51" x14ac:dyDescent="0.2">
      <c r="A25" s="46">
        <f>INDEX(DiagramSAP2000!$B$3:$BU$13,5,$L$24-2)</f>
        <v>-244.63579999999999</v>
      </c>
      <c r="B25" s="46">
        <f>INDEX(DiagramSAP2000!$B$3:$BU$13,5,$L$24-1)</f>
        <v>2868.7662999999998</v>
      </c>
      <c r="C25" s="46">
        <f>INDEX(DiagramSAP2000!$B$3:$BU$13,5,$L$24)</f>
        <v>-1401.2080000000001</v>
      </c>
      <c r="D25" s="23">
        <f t="shared" si="5"/>
        <v>3185.0284933206899</v>
      </c>
      <c r="H25" s="45"/>
      <c r="I25" s="24"/>
      <c r="J25" s="13"/>
      <c r="K25" s="13"/>
      <c r="L25" s="51">
        <f>((IF(G20&gt;=180,-180,180)+G20)/15+1)*3</f>
        <v>33</v>
      </c>
      <c r="M25" s="13"/>
      <c r="N25" s="13"/>
      <c r="O25" s="23">
        <v>240</v>
      </c>
      <c r="P25" s="14"/>
      <c r="Q25" s="20"/>
      <c r="R25" s="21"/>
      <c r="S25" s="21"/>
      <c r="T25" s="22"/>
      <c r="U25" s="23">
        <f t="shared" si="4"/>
        <v>0</v>
      </c>
      <c r="Y25" s="2"/>
      <c r="Z25" s="23">
        <v>220</v>
      </c>
      <c r="AA25" s="23">
        <f t="shared" si="0"/>
        <v>67.236066880478276</v>
      </c>
      <c r="AB25" s="23">
        <f t="array" ref="AB25:AD25">FLEXCOMPBIAXRN($B$4,$B$5,$B$6,$B$12,$B$13,$B$14,$B$15,$B$8,$B$9,$B$10,$B$7,Z25,AA25,$B$3,$B$11)</f>
        <v>-359.61612870400688</v>
      </c>
      <c r="AC25" s="23">
        <v>-1241.5830079387886</v>
      </c>
      <c r="AD25" s="23">
        <v>-1419.7594592430933</v>
      </c>
      <c r="AE25" s="2"/>
      <c r="AF25" s="23">
        <v>220</v>
      </c>
      <c r="AG25" s="23">
        <f t="shared" si="1"/>
        <v>42.584300575627097</v>
      </c>
      <c r="AH25" s="23">
        <f t="array" ref="AH25:AJ25">FLEXCOMPBIAXRN($B$4,$B$5,$B$6,$B$12,$B$13,$B$14,$B$15,$B$8,$B$9,$B$10,$B$7,AF25,AG25,$B$3,$B$11)</f>
        <v>-163.8557934579328</v>
      </c>
      <c r="AI25" s="23">
        <v>-2114.952776432036</v>
      </c>
      <c r="AJ25" s="23">
        <v>-2719.3219748803931</v>
      </c>
      <c r="AK25" s="2"/>
      <c r="AL25" s="23">
        <v>220</v>
      </c>
      <c r="AM25" s="23">
        <f t="shared" si="2"/>
        <v>27.261188282539745</v>
      </c>
      <c r="AN25" s="23">
        <f t="array" ref="AN25:AP25">FLEXCOMPBIAXRN($B$4,$B$5,$B$6,$B$12,$B$13,$B$14,$B$15,$B$8,$B$9,$B$10,$B$7,AL25,AM25,$B$3,$B$11)</f>
        <v>-34.182589887813407</v>
      </c>
      <c r="AO25" s="23">
        <v>-2395.5120397863552</v>
      </c>
      <c r="AP25" s="23">
        <v>-2808.8371071123147</v>
      </c>
      <c r="AQ25" s="2"/>
      <c r="AR25" s="23">
        <v>-206.10685364422136</v>
      </c>
      <c r="AS25" s="23">
        <v>1461.3911728897876</v>
      </c>
      <c r="AT25" s="23">
        <v>-3094.0784021725513</v>
      </c>
      <c r="AU25" s="23">
        <f t="shared" si="3"/>
        <v>-3410.2460840270883</v>
      </c>
      <c r="AY25" s="2"/>
    </row>
    <row r="26" spans="1:51" x14ac:dyDescent="0.2">
      <c r="A26" s="46">
        <f>INDEX(DiagramSAP2000!$B$3:$BU$13,6,$L$24-2)</f>
        <v>-159.16220000000001</v>
      </c>
      <c r="B26" s="46">
        <f>INDEX(DiagramSAP2000!$B$3:$BU$13,6,$L$24-1)</f>
        <v>3170.7085000000002</v>
      </c>
      <c r="C26" s="46">
        <f>INDEX(DiagramSAP2000!$B$3:$BU$13,6,$L$24)</f>
        <v>-1530.674</v>
      </c>
      <c r="D26" s="23">
        <f t="shared" si="5"/>
        <v>3511.2511089952513</v>
      </c>
      <c r="E26" s="63"/>
      <c r="F26" s="63"/>
      <c r="G26" s="63"/>
      <c r="H26" s="14"/>
      <c r="I26" s="24"/>
      <c r="J26" s="13"/>
      <c r="K26" s="13"/>
      <c r="L26" s="13"/>
      <c r="M26" s="13"/>
      <c r="N26" s="13"/>
      <c r="O26" s="23">
        <v>255</v>
      </c>
      <c r="P26" s="14"/>
      <c r="Q26" s="20"/>
      <c r="R26" s="21"/>
      <c r="S26" s="21"/>
      <c r="T26" s="22"/>
      <c r="U26" s="23">
        <f t="shared" si="4"/>
        <v>0</v>
      </c>
      <c r="V26" s="2"/>
      <c r="W26" s="2"/>
      <c r="X26" s="2"/>
      <c r="Y26" s="2"/>
      <c r="Z26" s="23">
        <v>230</v>
      </c>
      <c r="AA26" s="23">
        <f t="shared" si="0"/>
        <v>67.236066880478276</v>
      </c>
      <c r="AB26" s="23">
        <f t="array" ref="AB26:AD26">FLEXCOMPBIAXRN($B$4,$B$5,$B$6,$B$12,$B$13,$B$14,$B$15,$B$8,$B$9,$B$10,$B$7,Z26,AA26,$B$3,$B$11)</f>
        <v>-359.61612870400688</v>
      </c>
      <c r="AC26" s="23">
        <v>-1419.759459243093</v>
      </c>
      <c r="AD26" s="23">
        <v>-1241.5830079387886</v>
      </c>
      <c r="AE26" s="2"/>
      <c r="AF26" s="23">
        <v>230</v>
      </c>
      <c r="AG26" s="23">
        <f t="shared" si="1"/>
        <v>42.584300575627097</v>
      </c>
      <c r="AH26" s="23">
        <f t="array" ref="AH26:AJ26">FLEXCOMPBIAXRN($B$4,$B$5,$B$6,$B$12,$B$13,$B$14,$B$15,$B$8,$B$9,$B$10,$B$7,AF26,AG26,$B$3,$B$11)</f>
        <v>-163.85579345793275</v>
      </c>
      <c r="AI26" s="23">
        <v>-2719.3219748803931</v>
      </c>
      <c r="AJ26" s="23">
        <v>-2114.9527764320369</v>
      </c>
      <c r="AK26" s="2"/>
      <c r="AL26" s="23">
        <v>230</v>
      </c>
      <c r="AM26" s="23">
        <f t="shared" si="2"/>
        <v>27.261188282539745</v>
      </c>
      <c r="AN26" s="23">
        <f t="array" ref="AN26:AP26">FLEXCOMPBIAXRN($B$4,$B$5,$B$6,$B$12,$B$13,$B$14,$B$15,$B$8,$B$9,$B$10,$B$7,AL26,AM26,$B$3,$B$11)</f>
        <v>-34.182589887813364</v>
      </c>
      <c r="AO26" s="23">
        <v>-2808.8371071123147</v>
      </c>
      <c r="AP26" s="23">
        <v>-2395.5120397863561</v>
      </c>
      <c r="AQ26" s="2"/>
      <c r="AR26" s="23">
        <v>-254.8786096437332</v>
      </c>
      <c r="AS26" s="23">
        <v>1394.2931307182646</v>
      </c>
      <c r="AT26" s="23">
        <v>-2813.7402606145447</v>
      </c>
      <c r="AU26" s="23">
        <f t="shared" si="3"/>
        <v>-3133.9171107023749</v>
      </c>
      <c r="AY26" s="2"/>
    </row>
    <row r="27" spans="1:51" x14ac:dyDescent="0.2">
      <c r="A27" s="46">
        <f>INDEX(DiagramSAP2000!$B$3:$BU$13,7,$L$24-2)</f>
        <v>-96.552700000000002</v>
      </c>
      <c r="B27" s="46">
        <f>INDEX(DiagramSAP2000!$B$3:$BU$13,7,$L$24-1)</f>
        <v>3395.9290000000001</v>
      </c>
      <c r="C27" s="46">
        <f>INDEX(DiagramSAP2000!$B$3:$BU$13,7,$L$24)</f>
        <v>-1824.2190000000001</v>
      </c>
      <c r="D27" s="23">
        <f t="shared" si="5"/>
        <v>3853.070283448285</v>
      </c>
      <c r="E27" s="63"/>
      <c r="F27" s="63"/>
      <c r="G27" s="63"/>
      <c r="H27" s="14"/>
      <c r="I27" s="24"/>
      <c r="J27" s="13"/>
      <c r="K27" s="13"/>
      <c r="L27" s="13"/>
      <c r="M27" s="13"/>
      <c r="N27" s="13"/>
      <c r="O27" s="23">
        <v>270</v>
      </c>
      <c r="P27" s="14"/>
      <c r="Q27" s="20"/>
      <c r="R27" s="21"/>
      <c r="S27" s="21"/>
      <c r="T27" s="22"/>
      <c r="U27" s="23">
        <f t="shared" si="4"/>
        <v>0</v>
      </c>
      <c r="V27" s="2"/>
      <c r="W27" s="2"/>
      <c r="X27" s="2"/>
      <c r="Y27" s="2"/>
      <c r="Z27" s="23">
        <v>240</v>
      </c>
      <c r="AA27" s="23">
        <f t="shared" si="0"/>
        <v>65.853467557181148</v>
      </c>
      <c r="AB27" s="23">
        <f t="array" ref="AB27:AD27">FLEXCOMPBIAXRN($B$4,$B$5,$B$6,$B$12,$B$13,$B$14,$B$15,$B$8,$B$9,$B$10,$B$7,Z27,AA27,$B$3,$B$11)</f>
        <v>-359.60004901716627</v>
      </c>
      <c r="AC27" s="23">
        <v>-1592.711263326961</v>
      </c>
      <c r="AD27" s="23">
        <v>-1043.9415244207355</v>
      </c>
      <c r="AE27" s="2"/>
      <c r="AF27" s="23">
        <v>240</v>
      </c>
      <c r="AG27" s="23">
        <f t="shared" si="1"/>
        <v>40.98086633300062</v>
      </c>
      <c r="AH27" s="23">
        <f t="array" ref="AH27:AJ27">FLEXCOMPBIAXRN($B$4,$B$5,$B$6,$B$12,$B$13,$B$14,$B$15,$B$8,$B$9,$B$10,$B$7,AF27,AG27,$B$3,$B$11)</f>
        <v>-163.89115774583732</v>
      </c>
      <c r="AI27" s="23">
        <v>-3194.2732550230535</v>
      </c>
      <c r="AJ27" s="23">
        <v>-1535.1115436374444</v>
      </c>
      <c r="AK27" s="2"/>
      <c r="AL27" s="23">
        <v>240</v>
      </c>
      <c r="AM27" s="23">
        <f t="shared" si="2"/>
        <v>25.614331174035101</v>
      </c>
      <c r="AN27" s="23">
        <f t="array" ref="AN27:AP27">FLEXCOMPBIAXRN($B$4,$B$5,$B$6,$B$12,$B$13,$B$14,$B$15,$B$8,$B$9,$B$10,$B$7,AL27,AM27,$B$3,$B$11)</f>
        <v>-34.21861769695559</v>
      </c>
      <c r="AO27" s="23">
        <v>-3237.9342775938094</v>
      </c>
      <c r="AP27" s="23">
        <v>-1986.3572518388132</v>
      </c>
      <c r="AQ27" s="2"/>
      <c r="AR27" s="23">
        <v>-313.22748512590431</v>
      </c>
      <c r="AS27" s="23">
        <v>1294.9264498745108</v>
      </c>
      <c r="AT27" s="23">
        <v>-2227.0953490264678</v>
      </c>
      <c r="AU27" s="23">
        <f t="shared" si="3"/>
        <v>-2576.1843738443476</v>
      </c>
      <c r="AY27" s="2"/>
    </row>
    <row r="28" spans="1:51" x14ac:dyDescent="0.2">
      <c r="A28" s="46">
        <f>INDEX(DiagramSAP2000!$B$3:$BU$13,8,$L$24-2)</f>
        <v>-20.6569</v>
      </c>
      <c r="B28" s="46">
        <f>INDEX(DiagramSAP2000!$B$3:$BU$13,8,$L$24-1)</f>
        <v>3043.5007999999998</v>
      </c>
      <c r="C28" s="46">
        <f>INDEX(DiagramSAP2000!$B$3:$BU$13,8,$L$24)</f>
        <v>-1917.1279999999999</v>
      </c>
      <c r="D28" s="23">
        <f t="shared" si="5"/>
        <v>3594.3130092382617</v>
      </c>
      <c r="E28" s="63"/>
      <c r="F28" s="63"/>
      <c r="G28" s="63"/>
      <c r="H28" s="14"/>
      <c r="I28" s="24"/>
      <c r="J28" s="13"/>
      <c r="K28" s="13"/>
      <c r="L28" s="13"/>
      <c r="M28" s="13"/>
      <c r="N28" s="13"/>
      <c r="O28" s="23">
        <v>285</v>
      </c>
      <c r="P28" s="14"/>
      <c r="Q28" s="20"/>
      <c r="R28" s="21"/>
      <c r="S28" s="21"/>
      <c r="T28" s="22"/>
      <c r="U28" s="23">
        <f t="shared" si="4"/>
        <v>0</v>
      </c>
      <c r="V28" s="2"/>
      <c r="W28" s="2"/>
      <c r="X28" s="2"/>
      <c r="Y28" s="2"/>
      <c r="Z28" s="23">
        <v>250</v>
      </c>
      <c r="AA28" s="23">
        <f t="shared" si="0"/>
        <v>63.260414357896849</v>
      </c>
      <c r="AB28" s="23">
        <f t="array" ref="AB28:AD28">FLEXCOMPBIAXRN($B$4,$B$5,$B$6,$B$12,$B$13,$B$14,$B$15,$B$8,$B$9,$B$10,$B$7,Z28,AA28,$B$3,$B$11)</f>
        <v>-359.61612870400688</v>
      </c>
      <c r="AC28" s="23">
        <v>-1749.1035423681217</v>
      </c>
      <c r="AD28" s="23">
        <v>-776.94051147133098</v>
      </c>
      <c r="AE28" s="2"/>
      <c r="AF28" s="23">
        <v>250</v>
      </c>
      <c r="AG28" s="23">
        <f t="shared" si="1"/>
        <v>38.012612997461645</v>
      </c>
      <c r="AH28" s="23">
        <f t="array" ref="AH28:AJ28">FLEXCOMPBIAXRN($B$4,$B$5,$B$6,$B$12,$B$13,$B$14,$B$15,$B$8,$B$9,$B$10,$B$7,AF28,AG28,$B$3,$B$11)</f>
        <v>-163.90480494700461</v>
      </c>
      <c r="AI28" s="23">
        <v>-3563.5689063417349</v>
      </c>
      <c r="AJ28" s="23">
        <v>-1023.52355218489</v>
      </c>
      <c r="AK28" s="2"/>
      <c r="AL28" s="23">
        <v>250</v>
      </c>
      <c r="AM28" s="23">
        <f t="shared" si="2"/>
        <v>22.232737147189638</v>
      </c>
      <c r="AN28" s="23">
        <f t="array" ref="AN28:AP28">FLEXCOMPBIAXRN($B$4,$B$5,$B$6,$B$12,$B$13,$B$14,$B$15,$B$8,$B$9,$B$10,$B$7,AL28,AM28,$B$3,$B$11)</f>
        <v>-34.191037991668658</v>
      </c>
      <c r="AO28" s="23">
        <v>-3501.1707013071873</v>
      </c>
      <c r="AP28" s="23">
        <v>-1387.7283411765607</v>
      </c>
      <c r="AQ28" s="2"/>
      <c r="AR28" s="23">
        <v>-359.61612870400688</v>
      </c>
      <c r="AS28" s="23">
        <v>930.59580067096522</v>
      </c>
      <c r="AT28" s="23">
        <v>-1386.9893242020123</v>
      </c>
      <c r="AU28" s="23">
        <f t="shared" si="3"/>
        <v>-1666.4658898722362</v>
      </c>
      <c r="AY28" s="2"/>
    </row>
    <row r="29" spans="1:51" x14ac:dyDescent="0.2">
      <c r="A29" s="46">
        <f>INDEX(DiagramSAP2000!$B$3:$BU$13,9,$L$24-2)</f>
        <v>58.177599999999998</v>
      </c>
      <c r="B29" s="46">
        <f>INDEX(DiagramSAP2000!$B$3:$BU$13,9,$L$24-1)</f>
        <v>1765.1021000000001</v>
      </c>
      <c r="C29" s="46">
        <f>INDEX(DiagramSAP2000!$B$3:$BU$13,9,$L$24)</f>
        <v>-1365.021</v>
      </c>
      <c r="D29" s="23">
        <f t="shared" si="5"/>
        <v>2211.1337588732608</v>
      </c>
      <c r="E29" s="63"/>
      <c r="F29" s="63"/>
      <c r="G29" s="63"/>
      <c r="H29" s="14"/>
      <c r="I29" s="24"/>
      <c r="J29" s="13"/>
      <c r="K29" s="13"/>
      <c r="L29" s="13"/>
      <c r="M29" s="13"/>
      <c r="N29" s="13"/>
      <c r="O29" s="23">
        <v>300</v>
      </c>
      <c r="P29" s="14"/>
      <c r="Q29" s="20"/>
      <c r="R29" s="21"/>
      <c r="S29" s="21"/>
      <c r="T29" s="22"/>
      <c r="U29" s="23">
        <f t="shared" si="4"/>
        <v>0</v>
      </c>
      <c r="V29" s="2"/>
      <c r="W29" s="2"/>
      <c r="X29" s="2"/>
      <c r="Y29" s="2"/>
      <c r="Z29" s="23">
        <v>260</v>
      </c>
      <c r="AA29" s="23">
        <f t="shared" si="0"/>
        <v>59.97107657801584</v>
      </c>
      <c r="AB29" s="23">
        <f t="array" ref="AB29:AD29">FLEXCOMPBIAXRN($B$4,$B$5,$B$6,$B$12,$B$13,$B$14,$B$15,$B$8,$B$9,$B$10,$B$7,Z29,AA29,$B$3,$B$11)</f>
        <v>-359.61612870400688</v>
      </c>
      <c r="AC29" s="23">
        <v>-1865.3586915419373</v>
      </c>
      <c r="AD29" s="23">
        <v>-392.78409764148574</v>
      </c>
      <c r="AE29" s="2"/>
      <c r="AF29" s="23">
        <v>260</v>
      </c>
      <c r="AG29" s="23">
        <f t="shared" si="1"/>
        <v>34.100437885610845</v>
      </c>
      <c r="AH29" s="23">
        <f t="array" ref="AH29:AJ29">FLEXCOMPBIAXRN($B$4,$B$5,$B$6,$B$12,$B$13,$B$14,$B$15,$B$8,$B$9,$B$10,$B$7,AF29,AG29,$B$3,$B$11)</f>
        <v>-163.88117328354201</v>
      </c>
      <c r="AI29" s="23">
        <v>-3872.9470071043734</v>
      </c>
      <c r="AJ29" s="23">
        <v>-505.91231897233371</v>
      </c>
      <c r="AK29" s="2"/>
      <c r="AL29" s="23">
        <v>260</v>
      </c>
      <c r="AM29" s="23">
        <f t="shared" si="2"/>
        <v>17.837226910543187</v>
      </c>
      <c r="AN29" s="23">
        <f t="array" ref="AN29:AP29">FLEXCOMPBIAXRN($B$4,$B$5,$B$6,$B$12,$B$13,$B$14,$B$15,$B$8,$B$9,$B$10,$B$7,AL29,AM29,$B$3,$B$11)</f>
        <v>-34.197791073451114</v>
      </c>
      <c r="AO29" s="23">
        <v>-3706.8156491952841</v>
      </c>
      <c r="AP29" s="23">
        <v>-667.63805805827224</v>
      </c>
      <c r="AQ29" s="2"/>
      <c r="AR29" s="23">
        <v>-359.61612870400688</v>
      </c>
      <c r="AS29" s="23">
        <v>562.0602150874538</v>
      </c>
      <c r="AT29" s="23">
        <v>-840.99981273011554</v>
      </c>
      <c r="AU29" s="23">
        <f t="shared" si="3"/>
        <v>-1009.3573099459625</v>
      </c>
      <c r="AY29" s="2"/>
    </row>
    <row r="30" spans="1:51" x14ac:dyDescent="0.2">
      <c r="A30" s="46">
        <f>INDEX(DiagramSAP2000!$B$3:$BU$13,10,$L$24-2)</f>
        <v>119.5659</v>
      </c>
      <c r="B30" s="46">
        <f>INDEX(DiagramSAP2000!$B$3:$BU$13,10,$L$24-1)</f>
        <v>535.11289999999997</v>
      </c>
      <c r="C30" s="46">
        <f>INDEX(DiagramSAP2000!$B$3:$BU$13,10,$L$24)</f>
        <v>-518.0598</v>
      </c>
      <c r="D30" s="23">
        <f t="shared" si="5"/>
        <v>722.45126529276195</v>
      </c>
      <c r="E30" s="63"/>
      <c r="F30" s="63"/>
      <c r="G30" s="63"/>
      <c r="H30" s="14"/>
      <c r="I30" s="24"/>
      <c r="J30" s="13"/>
      <c r="K30" s="13"/>
      <c r="L30" s="13"/>
      <c r="M30" s="13"/>
      <c r="N30" s="13"/>
      <c r="O30" s="23">
        <v>315</v>
      </c>
      <c r="P30" s="14"/>
      <c r="Q30" s="20"/>
      <c r="R30" s="21"/>
      <c r="S30" s="21"/>
      <c r="T30" s="22"/>
      <c r="U30" s="23">
        <f t="shared" si="4"/>
        <v>0</v>
      </c>
      <c r="V30" s="2"/>
      <c r="W30" s="2"/>
      <c r="X30" s="2"/>
      <c r="Y30" s="2"/>
      <c r="Z30" s="23">
        <v>270</v>
      </c>
      <c r="AA30" s="23">
        <f t="shared" si="0"/>
        <v>54.925308227539077</v>
      </c>
      <c r="AB30" s="23">
        <f t="array" ref="AB30:AD30">FLEXCOMPBIAXRN($B$4,$B$5,$B$6,$B$12,$B$13,$B$14,$B$15,$B$8,$B$9,$B$10,$B$7,Z30,AA30,$B$3,$B$11)</f>
        <v>-359.61612870400688</v>
      </c>
      <c r="AC30" s="23">
        <v>-1926.3525317792373</v>
      </c>
      <c r="AD30" s="23">
        <v>-5.5264135912207967E-13</v>
      </c>
      <c r="AE30" s="2"/>
      <c r="AF30" s="23">
        <v>270</v>
      </c>
      <c r="AG30" s="23">
        <f t="shared" si="1"/>
        <v>29.733200073242195</v>
      </c>
      <c r="AH30" s="23">
        <f t="array" ref="AH30:AJ30">FLEXCOMPBIAXRN($B$4,$B$5,$B$6,$B$12,$B$13,$B$14,$B$15,$B$8,$B$9,$B$10,$B$7,AF30,AG30,$B$3,$B$11)</f>
        <v>-163.89320064340507</v>
      </c>
      <c r="AI30" s="23">
        <v>-4023.0019700492021</v>
      </c>
      <c r="AJ30" s="23">
        <v>-5.7730507695060485E-13</v>
      </c>
      <c r="AK30" s="2"/>
      <c r="AL30" s="23">
        <v>270</v>
      </c>
      <c r="AM30" s="23">
        <f t="shared" si="2"/>
        <v>12.638015747070316</v>
      </c>
      <c r="AN30" s="23">
        <f t="array" ref="AN30:AP30">FLEXCOMPBIAXRN($B$4,$B$5,$B$6,$B$12,$B$13,$B$14,$B$15,$B$8,$B$9,$B$10,$B$7,AL30,AM30,$B$3,$B$11)</f>
        <v>-34.223382851604583</v>
      </c>
      <c r="AO30" s="23">
        <v>-3760.3463827209757</v>
      </c>
      <c r="AP30" s="23">
        <v>-6.4300261280786899E-13</v>
      </c>
      <c r="AQ30" s="2"/>
      <c r="AR30" s="27">
        <v>-359.61612870400688</v>
      </c>
      <c r="AS30" s="27">
        <v>8.9875037707707043E-14</v>
      </c>
      <c r="AT30" s="27">
        <v>4.8469375256487969E-14</v>
      </c>
      <c r="AU30" s="27">
        <f t="shared" si="3"/>
        <v>-2.9618085761741005E-15</v>
      </c>
      <c r="AY30" s="2"/>
    </row>
    <row r="31" spans="1:51" x14ac:dyDescent="0.2">
      <c r="A31" s="46">
        <f>INDEX(DiagramSAP2000!$B$3:$BU$13,11,$L$24-2)</f>
        <v>142.43039999999999</v>
      </c>
      <c r="B31" s="46">
        <f>INDEX(DiagramSAP2000!$B$3:$BU$13,11,$L$24-1)</f>
        <v>0</v>
      </c>
      <c r="C31" s="46">
        <f>INDEX(DiagramSAP2000!$B$3:$BU$13,11,$L$24)</f>
        <v>0</v>
      </c>
      <c r="D31" s="23">
        <f t="shared" si="5"/>
        <v>0</v>
      </c>
      <c r="E31" s="63"/>
      <c r="F31" s="63"/>
      <c r="G31" s="63"/>
      <c r="H31" s="14"/>
      <c r="I31" s="24"/>
      <c r="J31" s="13"/>
      <c r="K31" s="13"/>
      <c r="L31" s="13"/>
      <c r="M31" s="13"/>
      <c r="N31" s="13"/>
      <c r="O31" s="23">
        <v>330</v>
      </c>
      <c r="P31" s="14"/>
      <c r="Q31" s="20"/>
      <c r="R31" s="21"/>
      <c r="S31" s="21"/>
      <c r="T31" s="22"/>
      <c r="U31" s="23">
        <f t="shared" si="4"/>
        <v>0</v>
      </c>
      <c r="V31" s="2"/>
      <c r="W31" s="2"/>
      <c r="X31" s="2"/>
      <c r="Y31" s="2"/>
      <c r="Z31" s="23">
        <v>280</v>
      </c>
      <c r="AA31" s="23">
        <f t="shared" si="0"/>
        <v>59.971076578015811</v>
      </c>
      <c r="AB31" s="23">
        <f t="array" ref="AB31:AD31">FLEXCOMPBIAXRN($B$4,$B$5,$B$6,$B$12,$B$13,$B$14,$B$15,$B$8,$B$9,$B$10,$B$7,Z31,AA31,$B$3,$B$11)</f>
        <v>-359.61612870400688</v>
      </c>
      <c r="AC31" s="23">
        <v>-1865.358691541941</v>
      </c>
      <c r="AD31" s="23">
        <v>392.78409764148506</v>
      </c>
      <c r="AE31" s="2"/>
      <c r="AF31" s="23">
        <v>280</v>
      </c>
      <c r="AG31" s="23">
        <f t="shared" si="1"/>
        <v>34.100437885610845</v>
      </c>
      <c r="AH31" s="23">
        <f t="array" ref="AH31:AJ31">FLEXCOMPBIAXRN($B$4,$B$5,$B$6,$B$12,$B$13,$B$14,$B$15,$B$8,$B$9,$B$10,$B$7,AF31,AG31,$B$3,$B$11)</f>
        <v>-163.8811732835421</v>
      </c>
      <c r="AI31" s="23">
        <v>-3872.9470071043738</v>
      </c>
      <c r="AJ31" s="23">
        <v>505.91231897233234</v>
      </c>
      <c r="AK31" s="2"/>
      <c r="AL31" s="23">
        <v>280</v>
      </c>
      <c r="AM31" s="23">
        <f t="shared" si="2"/>
        <v>17.83722691054318</v>
      </c>
      <c r="AN31" s="23">
        <f t="array" ref="AN31:AP31">FLEXCOMPBIAXRN($B$4,$B$5,$B$6,$B$12,$B$13,$B$14,$B$15,$B$8,$B$9,$B$10,$B$7,AL31,AM31,$B$3,$B$11)</f>
        <v>-34.197791073451171</v>
      </c>
      <c r="AO31" s="23">
        <v>-3706.8156491952855</v>
      </c>
      <c r="AP31" s="23">
        <v>667.63805805827087</v>
      </c>
      <c r="AQ31" s="2"/>
      <c r="AR31" s="2"/>
      <c r="AS31" s="2"/>
      <c r="AT31" s="2"/>
      <c r="AU31" s="2"/>
      <c r="AY31" s="2"/>
    </row>
    <row r="32" spans="1:51" x14ac:dyDescent="0.2">
      <c r="A32" s="47">
        <f>INDEX(DiagramSAP2000!$B$3:$BU$13,1,$L$25-2)</f>
        <v>-359.57619999999997</v>
      </c>
      <c r="B32" s="47">
        <f>INDEX(DiagramSAP2000!$B$3:$BU$13,1,$L$25-1)</f>
        <v>0</v>
      </c>
      <c r="C32" s="47">
        <f>INDEX(DiagramSAP2000!$B$3:$BU$13,1,$L$25)</f>
        <v>0</v>
      </c>
      <c r="D32" s="18">
        <f t="shared" si="5"/>
        <v>0</v>
      </c>
      <c r="E32" s="63"/>
      <c r="F32" s="63"/>
      <c r="G32" s="63"/>
      <c r="H32" s="14"/>
      <c r="I32" s="24"/>
      <c r="J32" s="13"/>
      <c r="K32" s="13"/>
      <c r="L32" s="13"/>
      <c r="M32" s="13"/>
      <c r="N32" s="13"/>
      <c r="O32" s="27">
        <v>345</v>
      </c>
      <c r="P32" s="14"/>
      <c r="Q32" s="20"/>
      <c r="R32" s="21"/>
      <c r="S32" s="21"/>
      <c r="T32" s="22"/>
      <c r="U32" s="23">
        <f t="shared" si="4"/>
        <v>0</v>
      </c>
      <c r="V32" s="2"/>
      <c r="W32" s="2"/>
      <c r="X32" s="2"/>
      <c r="Y32" s="2"/>
      <c r="Z32" s="23">
        <v>290</v>
      </c>
      <c r="AA32" s="23">
        <f t="shared" si="0"/>
        <v>63.260414357896821</v>
      </c>
      <c r="AB32" s="23">
        <f t="array" ref="AB32:AD32">FLEXCOMPBIAXRN($B$4,$B$5,$B$6,$B$12,$B$13,$B$14,$B$15,$B$8,$B$9,$B$10,$B$7,Z32,AA32,$B$3,$B$11)</f>
        <v>-359.61612870400688</v>
      </c>
      <c r="AC32" s="23">
        <v>-1749.1035423681233</v>
      </c>
      <c r="AD32" s="23">
        <v>776.94051147133007</v>
      </c>
      <c r="AE32" s="2"/>
      <c r="AF32" s="23">
        <v>290</v>
      </c>
      <c r="AG32" s="23">
        <f t="shared" si="1"/>
        <v>38.01261299746163</v>
      </c>
      <c r="AH32" s="23">
        <f t="array" ref="AH32:AJ32">FLEXCOMPBIAXRN($B$4,$B$5,$B$6,$B$12,$B$13,$B$14,$B$15,$B$8,$B$9,$B$10,$B$7,AF32,AG32,$B$3,$B$11)</f>
        <v>-163.90480494700455</v>
      </c>
      <c r="AI32" s="23">
        <v>-3563.5689063417353</v>
      </c>
      <c r="AJ32" s="23">
        <v>1023.5235521848887</v>
      </c>
      <c r="AK32" s="2"/>
      <c r="AL32" s="23">
        <v>290</v>
      </c>
      <c r="AM32" s="23">
        <f t="shared" si="2"/>
        <v>22.232737147189631</v>
      </c>
      <c r="AN32" s="23">
        <f t="array" ref="AN32:AP32">FLEXCOMPBIAXRN($B$4,$B$5,$B$6,$B$12,$B$13,$B$14,$B$15,$B$8,$B$9,$B$10,$B$7,AL32,AM32,$B$3,$B$11)</f>
        <v>-34.191037991668686</v>
      </c>
      <c r="AO32" s="23">
        <v>-3501.1707013071887</v>
      </c>
      <c r="AP32" s="23">
        <v>1387.7283411765593</v>
      </c>
      <c r="AQ32" s="2"/>
      <c r="AR32" s="2"/>
      <c r="AS32" s="2"/>
      <c r="AT32" s="2"/>
      <c r="AU32" s="2"/>
      <c r="AY32" s="2"/>
    </row>
    <row r="33" spans="1:51" x14ac:dyDescent="0.2">
      <c r="A33" s="46">
        <f>INDEX(DiagramSAP2000!$B$3:$BU$13,2,$L$25-2)</f>
        <v>-359.57619999999997</v>
      </c>
      <c r="B33" s="46">
        <f>INDEX(DiagramSAP2000!$B$3:$BU$13,2,$L$25-1)</f>
        <v>-678.04790000000003</v>
      </c>
      <c r="C33" s="46">
        <f>INDEX(DiagramSAP2000!$B$3:$BU$13,2,$L$25)</f>
        <v>436.46800000000002</v>
      </c>
      <c r="D33" s="23">
        <f t="shared" si="5"/>
        <v>-805.44070638269068</v>
      </c>
      <c r="E33" s="63"/>
      <c r="F33" s="63"/>
      <c r="G33" s="63"/>
      <c r="H33" s="14"/>
      <c r="I33" s="24"/>
      <c r="J33" s="13"/>
      <c r="K33" s="13"/>
      <c r="L33" s="13"/>
      <c r="M33" s="13"/>
      <c r="N33" s="13"/>
      <c r="O33" s="13"/>
      <c r="P33" s="14"/>
      <c r="Q33" s="20"/>
      <c r="R33" s="21"/>
      <c r="S33" s="21"/>
      <c r="T33" s="22"/>
      <c r="U33" s="23">
        <f t="shared" si="4"/>
        <v>0</v>
      </c>
      <c r="V33" s="2"/>
      <c r="W33" s="2"/>
      <c r="X33" s="2"/>
      <c r="Y33" s="2"/>
      <c r="Z33" s="23">
        <v>300</v>
      </c>
      <c r="AA33" s="23">
        <f t="shared" si="0"/>
        <v>65.853467557181148</v>
      </c>
      <c r="AB33" s="23">
        <f t="array" ref="AB33:AD33">FLEXCOMPBIAXRN($B$4,$B$5,$B$6,$B$12,$B$13,$B$14,$B$15,$B$8,$B$9,$B$10,$B$7,Z33,AA33,$B$3,$B$11)</f>
        <v>-359.60004901716627</v>
      </c>
      <c r="AC33" s="23">
        <v>-1592.7112633269603</v>
      </c>
      <c r="AD33" s="23">
        <v>1043.9415244207346</v>
      </c>
      <c r="AE33" s="2"/>
      <c r="AF33" s="23">
        <v>300</v>
      </c>
      <c r="AG33" s="23">
        <f t="shared" si="1"/>
        <v>40.980866333000606</v>
      </c>
      <c r="AH33" s="23">
        <f t="array" ref="AH33:AJ33">FLEXCOMPBIAXRN($B$4,$B$5,$B$6,$B$12,$B$13,$B$14,$B$15,$B$8,$B$9,$B$10,$B$7,AF33,AG33,$B$3,$B$11)</f>
        <v>-163.89115774583721</v>
      </c>
      <c r="AI33" s="23">
        <v>-3194.2732550230539</v>
      </c>
      <c r="AJ33" s="23">
        <v>1535.111543637443</v>
      </c>
      <c r="AK33" s="2"/>
      <c r="AL33" s="23">
        <v>300</v>
      </c>
      <c r="AM33" s="23">
        <f t="shared" si="2"/>
        <v>25.614331174035097</v>
      </c>
      <c r="AN33" s="23">
        <f t="array" ref="AN33:AP33">FLEXCOMPBIAXRN($B$4,$B$5,$B$6,$B$12,$B$13,$B$14,$B$15,$B$8,$B$9,$B$10,$B$7,AL33,AM33,$B$3,$B$11)</f>
        <v>-34.218617696955604</v>
      </c>
      <c r="AO33" s="23">
        <v>-3237.9342775938107</v>
      </c>
      <c r="AP33" s="23">
        <v>1986.3572518388125</v>
      </c>
      <c r="AQ33" s="2"/>
      <c r="AR33" s="2"/>
      <c r="AS33" s="2"/>
      <c r="AT33" s="2"/>
      <c r="AU33" s="2"/>
      <c r="AY33" s="2"/>
    </row>
    <row r="34" spans="1:51" x14ac:dyDescent="0.2">
      <c r="A34" s="46">
        <f>INDEX(DiagramSAP2000!$B$3:$BU$13,3,$L$25-2)</f>
        <v>-359.57619999999997</v>
      </c>
      <c r="B34" s="46">
        <f>INDEX(DiagramSAP2000!$B$3:$BU$13,3,$L$25-1)</f>
        <v>-1312.7940000000001</v>
      </c>
      <c r="C34" s="46">
        <f>INDEX(DiagramSAP2000!$B$3:$BU$13,3,$L$25)</f>
        <v>887.93970000000002</v>
      </c>
      <c r="D34" s="23">
        <f t="shared" si="5"/>
        <v>-1580.8828039357884</v>
      </c>
      <c r="E34" s="63"/>
      <c r="F34" s="63"/>
      <c r="G34" s="63"/>
      <c r="H34" s="14"/>
      <c r="I34" s="24"/>
      <c r="J34" s="13"/>
      <c r="K34" s="13"/>
      <c r="L34" s="13"/>
      <c r="M34" s="13"/>
      <c r="N34" s="13"/>
      <c r="O34" s="13"/>
      <c r="P34" s="14"/>
      <c r="Q34" s="20"/>
      <c r="R34" s="21"/>
      <c r="S34" s="21"/>
      <c r="T34" s="22"/>
      <c r="U34" s="23">
        <f t="shared" si="4"/>
        <v>0</v>
      </c>
      <c r="V34" s="2"/>
      <c r="W34" s="2"/>
      <c r="X34" s="2"/>
      <c r="Y34" s="2"/>
      <c r="Z34" s="23">
        <v>310</v>
      </c>
      <c r="AA34" s="23">
        <f t="shared" si="0"/>
        <v>67.236066880478276</v>
      </c>
      <c r="AB34" s="23">
        <f t="array" ref="AB34:AD34">FLEXCOMPBIAXRN($B$4,$B$5,$B$6,$B$12,$B$13,$B$14,$B$15,$B$8,$B$9,$B$10,$B$7,Z34,AA34,$B$3,$B$11)</f>
        <v>-359.61612870400688</v>
      </c>
      <c r="AC34" s="23">
        <v>-1419.7594592430933</v>
      </c>
      <c r="AD34" s="23">
        <v>1241.5830079387879</v>
      </c>
      <c r="AE34" s="2"/>
      <c r="AF34" s="23">
        <v>310</v>
      </c>
      <c r="AG34" s="23">
        <f t="shared" si="1"/>
        <v>42.584300575627097</v>
      </c>
      <c r="AH34" s="23">
        <f t="array" ref="AH34:AJ34">FLEXCOMPBIAXRN($B$4,$B$5,$B$6,$B$12,$B$13,$B$14,$B$15,$B$8,$B$9,$B$10,$B$7,AF34,AG34,$B$3,$B$11)</f>
        <v>-163.85579345793275</v>
      </c>
      <c r="AI34" s="23">
        <v>-2719.321974880394</v>
      </c>
      <c r="AJ34" s="23">
        <v>2114.952776432036</v>
      </c>
      <c r="AK34" s="2"/>
      <c r="AL34" s="23">
        <v>310</v>
      </c>
      <c r="AM34" s="23">
        <f t="shared" si="2"/>
        <v>27.261188282539745</v>
      </c>
      <c r="AN34" s="23">
        <f t="array" ref="AN34:AP34">FLEXCOMPBIAXRN($B$4,$B$5,$B$6,$B$12,$B$13,$B$14,$B$15,$B$8,$B$9,$B$10,$B$7,AL34,AM34,$B$3,$B$11)</f>
        <v>-34.1825898878134</v>
      </c>
      <c r="AO34" s="23">
        <v>-2808.8371071123161</v>
      </c>
      <c r="AP34" s="23">
        <v>2395.5120397863557</v>
      </c>
      <c r="AQ34" s="2"/>
      <c r="AR34" s="2"/>
      <c r="AS34" s="2"/>
      <c r="AT34" s="2"/>
      <c r="AU34" s="2"/>
      <c r="AY34" s="2"/>
    </row>
    <row r="35" spans="1:51" x14ac:dyDescent="0.2">
      <c r="A35" s="46">
        <f>INDEX(DiagramSAP2000!$B$3:$BU$13,4,$L$25-2)</f>
        <v>-320.20080000000002</v>
      </c>
      <c r="B35" s="46">
        <f>INDEX(DiagramSAP2000!$B$3:$BU$13,4,$L$25-1)</f>
        <v>-2117.761</v>
      </c>
      <c r="C35" s="46">
        <f>INDEX(DiagramSAP2000!$B$3:$BU$13,4,$L$25)</f>
        <v>1264.7669000000001</v>
      </c>
      <c r="D35" s="23">
        <f t="shared" si="5"/>
        <v>-2466.4182751439366</v>
      </c>
      <c r="E35" s="63"/>
      <c r="F35" s="63"/>
      <c r="G35" s="63"/>
      <c r="H35" s="14"/>
      <c r="I35" s="24"/>
      <c r="J35" s="13"/>
      <c r="K35" s="13"/>
      <c r="L35" s="13"/>
      <c r="M35" s="13"/>
      <c r="N35" s="13"/>
      <c r="O35" s="13"/>
      <c r="P35" s="14"/>
      <c r="Q35" s="20"/>
      <c r="R35" s="21"/>
      <c r="S35" s="21"/>
      <c r="T35" s="22"/>
      <c r="U35" s="23">
        <f t="shared" si="4"/>
        <v>0</v>
      </c>
      <c r="V35" s="2"/>
      <c r="W35" s="2"/>
      <c r="X35" s="2"/>
      <c r="Y35" s="2"/>
      <c r="Z35" s="23">
        <v>320</v>
      </c>
      <c r="AA35" s="23">
        <f t="shared" si="0"/>
        <v>67.236066880478276</v>
      </c>
      <c r="AB35" s="23">
        <f t="array" ref="AB35:AD35">FLEXCOMPBIAXRN($B$4,$B$5,$B$6,$B$12,$B$13,$B$14,$B$15,$B$8,$B$9,$B$10,$B$7,Z35,AA35,$B$3,$B$11)</f>
        <v>-359.61612870400688</v>
      </c>
      <c r="AC35" s="23">
        <v>-1241.5830079387886</v>
      </c>
      <c r="AD35" s="23">
        <v>1419.7594592430924</v>
      </c>
      <c r="AE35" s="2"/>
      <c r="AF35" s="23">
        <v>320</v>
      </c>
      <c r="AG35" s="23">
        <f t="shared" si="1"/>
        <v>42.584300575627097</v>
      </c>
      <c r="AH35" s="23">
        <f t="array" ref="AH35:AJ35">FLEXCOMPBIAXRN($B$4,$B$5,$B$6,$B$12,$B$13,$B$14,$B$15,$B$8,$B$9,$B$10,$B$7,AF35,AG35,$B$3,$B$11)</f>
        <v>-163.85579345793275</v>
      </c>
      <c r="AI35" s="23">
        <v>-2114.9527764320378</v>
      </c>
      <c r="AJ35" s="23">
        <v>2719.3219748803926</v>
      </c>
      <c r="AK35" s="2"/>
      <c r="AL35" s="23">
        <v>320</v>
      </c>
      <c r="AM35" s="23">
        <f t="shared" si="2"/>
        <v>27.261188282539745</v>
      </c>
      <c r="AN35" s="23">
        <f t="array" ref="AN35:AP35">FLEXCOMPBIAXRN($B$4,$B$5,$B$6,$B$12,$B$13,$B$14,$B$15,$B$8,$B$9,$B$10,$B$7,AL35,AM35,$B$3,$B$11)</f>
        <v>-34.182589887813364</v>
      </c>
      <c r="AO35" s="23">
        <v>-2395.5120397863566</v>
      </c>
      <c r="AP35" s="23">
        <v>2808.8371071123142</v>
      </c>
      <c r="AQ35" s="2"/>
      <c r="AR35" s="2"/>
      <c r="AS35" s="2"/>
      <c r="AT35" s="2"/>
      <c r="AU35" s="2"/>
      <c r="AY35" s="2"/>
    </row>
    <row r="36" spans="1:51" x14ac:dyDescent="0.2">
      <c r="A36" s="46">
        <f>INDEX(DiagramSAP2000!$B$3:$BU$13,5,$L$25-2)</f>
        <v>-244.63579999999999</v>
      </c>
      <c r="B36" s="46">
        <f>INDEX(DiagramSAP2000!$B$3:$BU$13,5,$L$25-1)</f>
        <v>-2868.7660000000001</v>
      </c>
      <c r="C36" s="46">
        <f>INDEX(DiagramSAP2000!$B$3:$BU$13,5,$L$25)</f>
        <v>1401.2076999999999</v>
      </c>
      <c r="D36" s="23">
        <f t="shared" si="5"/>
        <v>-3185.0280835130689</v>
      </c>
      <c r="E36" s="63"/>
      <c r="F36" s="63"/>
      <c r="G36" s="63"/>
      <c r="H36" s="14"/>
      <c r="I36" s="24"/>
      <c r="J36" s="13"/>
      <c r="K36" s="13"/>
      <c r="L36" s="13"/>
      <c r="M36" s="13"/>
      <c r="N36" s="13"/>
      <c r="O36" s="13"/>
      <c r="P36" s="14"/>
      <c r="Q36" s="20"/>
      <c r="R36" s="21"/>
      <c r="S36" s="21"/>
      <c r="T36" s="22"/>
      <c r="U36" s="23">
        <f t="shared" si="4"/>
        <v>0</v>
      </c>
      <c r="V36" s="2"/>
      <c r="W36" s="2"/>
      <c r="X36" s="2"/>
      <c r="Y36" s="2"/>
      <c r="Z36" s="23">
        <v>330</v>
      </c>
      <c r="AA36" s="23">
        <f t="shared" si="0"/>
        <v>65.853467557181148</v>
      </c>
      <c r="AB36" s="23">
        <f t="array" ref="AB36:AD36">FLEXCOMPBIAXRN($B$4,$B$5,$B$6,$B$12,$B$13,$B$14,$B$15,$B$8,$B$9,$B$10,$B$7,Z36,AA36,$B$3,$B$11)</f>
        <v>-359.60004901716627</v>
      </c>
      <c r="AC36" s="23">
        <v>-1043.9415244207355</v>
      </c>
      <c r="AD36" s="23">
        <v>1592.7112633269608</v>
      </c>
      <c r="AE36" s="2"/>
      <c r="AF36" s="23">
        <v>330</v>
      </c>
      <c r="AG36" s="23">
        <f t="shared" si="1"/>
        <v>40.98086633300062</v>
      </c>
      <c r="AH36" s="23">
        <f t="array" ref="AH36:AJ36">FLEXCOMPBIAXRN($B$4,$B$5,$B$6,$B$12,$B$13,$B$14,$B$15,$B$8,$B$9,$B$10,$B$7,AF36,AG36,$B$3,$B$11)</f>
        <v>-163.89115774583732</v>
      </c>
      <c r="AI36" s="23">
        <v>-1535.1115436374446</v>
      </c>
      <c r="AJ36" s="23">
        <v>3194.2732550230539</v>
      </c>
      <c r="AK36" s="2"/>
      <c r="AL36" s="23">
        <v>330</v>
      </c>
      <c r="AM36" s="23">
        <f t="shared" si="2"/>
        <v>25.614331174035101</v>
      </c>
      <c r="AN36" s="23">
        <f t="array" ref="AN36:AP36">FLEXCOMPBIAXRN($B$4,$B$5,$B$6,$B$12,$B$13,$B$14,$B$15,$B$8,$B$9,$B$10,$B$7,AL36,AM36,$B$3,$B$11)</f>
        <v>-34.218617696955583</v>
      </c>
      <c r="AO36" s="23">
        <v>-1986.3572518388137</v>
      </c>
      <c r="AP36" s="23">
        <v>3237.9342775938098</v>
      </c>
      <c r="AQ36" s="2"/>
      <c r="AR36" s="2"/>
      <c r="AS36" s="2"/>
      <c r="AT36" s="2"/>
      <c r="AU36" s="2"/>
      <c r="AY36" s="2"/>
    </row>
    <row r="37" spans="1:51" x14ac:dyDescent="0.2">
      <c r="A37" s="46">
        <f>INDEX(DiagramSAP2000!$B$3:$BU$13,6,$L$25-2)</f>
        <v>-159.16220000000001</v>
      </c>
      <c r="B37" s="46">
        <f>INDEX(DiagramSAP2000!$B$3:$BU$13,6,$L$25-1)</f>
        <v>-3170.71</v>
      </c>
      <c r="C37" s="46">
        <f>INDEX(DiagramSAP2000!$B$3:$BU$13,6,$L$25)</f>
        <v>1530.674</v>
      </c>
      <c r="D37" s="23">
        <f t="shared" si="5"/>
        <v>-3511.2524080333569</v>
      </c>
      <c r="E37" s="63"/>
      <c r="F37" s="63"/>
      <c r="G37" s="63"/>
      <c r="H37" s="14"/>
      <c r="I37" s="24"/>
      <c r="J37" s="13"/>
      <c r="K37" s="13"/>
      <c r="L37" s="13"/>
      <c r="M37" s="13"/>
      <c r="N37" s="13"/>
      <c r="O37" s="13"/>
      <c r="P37" s="14"/>
      <c r="Q37" s="20"/>
      <c r="R37" s="21"/>
      <c r="S37" s="21"/>
      <c r="T37" s="22"/>
      <c r="U37" s="23">
        <f t="shared" si="4"/>
        <v>0</v>
      </c>
      <c r="V37" s="2"/>
      <c r="W37" s="2"/>
      <c r="X37" s="2"/>
      <c r="Y37" s="2"/>
      <c r="Z37" s="23">
        <v>340</v>
      </c>
      <c r="AA37" s="23">
        <f t="shared" si="0"/>
        <v>63.260414357896849</v>
      </c>
      <c r="AB37" s="23">
        <f t="array" ref="AB37:AD37">FLEXCOMPBIAXRN($B$4,$B$5,$B$6,$B$12,$B$13,$B$14,$B$15,$B$8,$B$9,$B$10,$B$7,Z37,AA37,$B$3,$B$11)</f>
        <v>-359.61612870400688</v>
      </c>
      <c r="AC37" s="23">
        <v>-776.94051147133098</v>
      </c>
      <c r="AD37" s="23">
        <v>1749.1035423681217</v>
      </c>
      <c r="AE37" s="2"/>
      <c r="AF37" s="23">
        <v>340</v>
      </c>
      <c r="AG37" s="23">
        <f t="shared" si="1"/>
        <v>38.012612997461645</v>
      </c>
      <c r="AH37" s="23">
        <f t="array" ref="AH37:AJ37">FLEXCOMPBIAXRN($B$4,$B$5,$B$6,$B$12,$B$13,$B$14,$B$15,$B$8,$B$9,$B$10,$B$7,AF37,AG37,$B$3,$B$11)</f>
        <v>-163.90480494700461</v>
      </c>
      <c r="AI37" s="23">
        <v>-1023.5235521848903</v>
      </c>
      <c r="AJ37" s="23">
        <v>3563.5689063417353</v>
      </c>
      <c r="AK37" s="2"/>
      <c r="AL37" s="23">
        <v>340</v>
      </c>
      <c r="AM37" s="23">
        <f t="shared" si="2"/>
        <v>22.232737147189638</v>
      </c>
      <c r="AN37" s="23">
        <f t="array" ref="AN37:AP37">FLEXCOMPBIAXRN($B$4,$B$5,$B$6,$B$12,$B$13,$B$14,$B$15,$B$8,$B$9,$B$10,$B$7,AL37,AM37,$B$3,$B$11)</f>
        <v>-34.191037991668665</v>
      </c>
      <c r="AO37" s="23">
        <v>-1387.7283411765609</v>
      </c>
      <c r="AP37" s="23">
        <v>3501.1707013071873</v>
      </c>
      <c r="AQ37" s="2"/>
      <c r="AR37" s="2"/>
      <c r="AS37" s="2"/>
      <c r="AT37" s="2"/>
      <c r="AU37" s="2"/>
      <c r="AY37" s="2"/>
    </row>
    <row r="38" spans="1:51" x14ac:dyDescent="0.2">
      <c r="A38" s="46">
        <f>INDEX(DiagramSAP2000!$B$3:$BU$13,7,$L$25-2)</f>
        <v>-96.552700000000002</v>
      </c>
      <c r="B38" s="46">
        <f>INDEX(DiagramSAP2000!$B$3:$BU$13,7,$L$25-1)</f>
        <v>-3395.93</v>
      </c>
      <c r="C38" s="46">
        <f>INDEX(DiagramSAP2000!$B$3:$BU$13,7,$L$25)</f>
        <v>1824.2194</v>
      </c>
      <c r="D38" s="23">
        <f t="shared" si="5"/>
        <v>-3853.0713494736888</v>
      </c>
      <c r="E38" s="63"/>
      <c r="F38" s="63"/>
      <c r="G38" s="63"/>
      <c r="H38" s="14"/>
      <c r="I38" s="24"/>
      <c r="J38" s="13"/>
      <c r="K38" s="13"/>
      <c r="L38" s="13"/>
      <c r="M38" s="13"/>
      <c r="N38" s="13"/>
      <c r="O38" s="13"/>
      <c r="P38" s="14"/>
      <c r="Q38" s="20"/>
      <c r="R38" s="21"/>
      <c r="S38" s="21"/>
      <c r="T38" s="22"/>
      <c r="U38" s="23">
        <f t="shared" si="4"/>
        <v>0</v>
      </c>
      <c r="V38" s="2"/>
      <c r="W38" s="2"/>
      <c r="X38" s="2"/>
      <c r="Y38" s="2"/>
      <c r="Z38" s="23">
        <v>350</v>
      </c>
      <c r="AA38" s="23">
        <f t="shared" si="0"/>
        <v>59.97107657801584</v>
      </c>
      <c r="AB38" s="23">
        <f t="array" ref="AB38:AD38">FLEXCOMPBIAXRN($B$4,$B$5,$B$6,$B$12,$B$13,$B$14,$B$15,$B$8,$B$9,$B$10,$B$7,Z38,AA38,$B$3,$B$11)</f>
        <v>-359.61612870400688</v>
      </c>
      <c r="AC38" s="23">
        <v>-392.78409764148626</v>
      </c>
      <c r="AD38" s="23">
        <v>1865.3586915419382</v>
      </c>
      <c r="AE38" s="2"/>
      <c r="AF38" s="23">
        <v>350</v>
      </c>
      <c r="AG38" s="23">
        <f t="shared" si="1"/>
        <v>34.100437885610859</v>
      </c>
      <c r="AH38" s="23">
        <f t="array" ref="AH38:AJ38">FLEXCOMPBIAXRN($B$4,$B$5,$B$6,$B$12,$B$13,$B$14,$B$15,$B$8,$B$9,$B$10,$B$7,AF38,AG38,$B$3,$B$11)</f>
        <v>-163.8811732835421</v>
      </c>
      <c r="AI38" s="23">
        <v>-505.91231897233365</v>
      </c>
      <c r="AJ38" s="23">
        <v>3872.9470071043729</v>
      </c>
      <c r="AK38" s="2"/>
      <c r="AL38" s="23">
        <v>350</v>
      </c>
      <c r="AM38" s="23">
        <f t="shared" si="2"/>
        <v>17.837226910543187</v>
      </c>
      <c r="AN38" s="23">
        <f t="array" ref="AN38:AP38">FLEXCOMPBIAXRN($B$4,$B$5,$B$6,$B$12,$B$13,$B$14,$B$15,$B$8,$B$9,$B$10,$B$7,AL38,AM38,$B$3,$B$11)</f>
        <v>-34.19779107345105</v>
      </c>
      <c r="AO38" s="23">
        <v>-667.63805805827258</v>
      </c>
      <c r="AP38" s="23">
        <v>3706.8156491952836</v>
      </c>
      <c r="AQ38" s="2"/>
      <c r="AR38" s="2"/>
      <c r="AS38" s="2"/>
      <c r="AT38" s="2"/>
      <c r="AU38" s="2"/>
      <c r="AY38" s="2"/>
    </row>
    <row r="39" spans="1:51" x14ac:dyDescent="0.2">
      <c r="A39" s="46">
        <f>INDEX(DiagramSAP2000!$B$3:$BU$13,8,$L$25-2)</f>
        <v>-20.6569</v>
      </c>
      <c r="B39" s="46">
        <f>INDEX(DiagramSAP2000!$B$3:$BU$13,8,$L$25-1)</f>
        <v>-3043.5010000000002</v>
      </c>
      <c r="C39" s="46">
        <f>INDEX(DiagramSAP2000!$B$3:$BU$13,8,$L$25)</f>
        <v>1917.1276</v>
      </c>
      <c r="D39" s="23">
        <f t="shared" si="5"/>
        <v>-3594.3129824433431</v>
      </c>
      <c r="E39" s="63"/>
      <c r="F39" s="63"/>
      <c r="G39" s="63"/>
      <c r="H39" s="14"/>
      <c r="I39" s="24"/>
      <c r="J39" s="13"/>
      <c r="K39" s="13"/>
      <c r="L39" s="13"/>
      <c r="M39" s="13"/>
      <c r="N39" s="13"/>
      <c r="O39" s="13"/>
      <c r="P39" s="14"/>
      <c r="Q39" s="20"/>
      <c r="R39" s="21"/>
      <c r="S39" s="21"/>
      <c r="T39" s="22"/>
      <c r="U39" s="23">
        <f t="shared" si="4"/>
        <v>0</v>
      </c>
      <c r="V39" s="2"/>
      <c r="W39" s="2"/>
      <c r="X39" s="2"/>
      <c r="Y39" s="2"/>
      <c r="Z39" s="27">
        <v>360</v>
      </c>
      <c r="AA39" s="27">
        <f>AA3</f>
        <v>54.925308227539063</v>
      </c>
      <c r="AB39" s="27">
        <f t="shared" ref="AB39:AC39" si="6">AB3</f>
        <v>-359.61612870400688</v>
      </c>
      <c r="AC39" s="27">
        <f t="shared" si="6"/>
        <v>0</v>
      </c>
      <c r="AD39" s="27">
        <f>AD3</f>
        <v>1926.3525317792389</v>
      </c>
      <c r="AE39" s="2"/>
      <c r="AF39" s="27">
        <v>360</v>
      </c>
      <c r="AG39" s="27">
        <f t="shared" si="1"/>
        <v>29.733200073242195</v>
      </c>
      <c r="AH39" s="27">
        <f t="shared" ref="AH39:AI39" si="7">AH3</f>
        <v>-163.89320064340507</v>
      </c>
      <c r="AI39" s="27">
        <f t="shared" si="7"/>
        <v>0</v>
      </c>
      <c r="AJ39" s="27">
        <f>AJ3</f>
        <v>4023.0019700492021</v>
      </c>
      <c r="AK39" s="2"/>
      <c r="AL39" s="27">
        <v>360</v>
      </c>
      <c r="AM39" s="27">
        <f t="shared" si="2"/>
        <v>12.638015747070316</v>
      </c>
      <c r="AN39" s="27">
        <f t="shared" ref="AN39:AO39" si="8">AN3</f>
        <v>-34.223382851604597</v>
      </c>
      <c r="AO39" s="27">
        <f t="shared" si="8"/>
        <v>0</v>
      </c>
      <c r="AP39" s="27">
        <f>AP3</f>
        <v>3760.3463827209753</v>
      </c>
      <c r="AQ39" s="2"/>
      <c r="AR39" s="2"/>
      <c r="AS39" s="2"/>
      <c r="AT39" s="2"/>
      <c r="AU39" s="2"/>
      <c r="AY39" s="2"/>
    </row>
    <row r="40" spans="1:51" x14ac:dyDescent="0.2">
      <c r="A40" s="46">
        <f>INDEX(DiagramSAP2000!$B$3:$BU$13,9,$L$25-2)</f>
        <v>58.177599999999998</v>
      </c>
      <c r="B40" s="46">
        <f>INDEX(DiagramSAP2000!$B$3:$BU$13,9,$L$25-1)</f>
        <v>-1765.1020000000001</v>
      </c>
      <c r="C40" s="46">
        <f>INDEX(DiagramSAP2000!$B$3:$BU$13,9,$L$25)</f>
        <v>1365.0206000000001</v>
      </c>
      <c r="D40" s="23">
        <f t="shared" si="5"/>
        <v>-2211.1334722707206</v>
      </c>
      <c r="E40" s="63"/>
      <c r="F40" s="63"/>
      <c r="G40" s="63"/>
      <c r="H40" s="14"/>
      <c r="I40" s="24"/>
      <c r="J40" s="13"/>
      <c r="K40" s="13"/>
      <c r="L40" s="13"/>
      <c r="M40" s="13"/>
      <c r="N40" s="13"/>
      <c r="O40" s="13"/>
      <c r="P40" s="14"/>
      <c r="Q40" s="20"/>
      <c r="R40" s="21"/>
      <c r="S40" s="21"/>
      <c r="T40" s="22"/>
      <c r="U40" s="23">
        <f t="shared" si="4"/>
        <v>0</v>
      </c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Y40" s="2"/>
    </row>
    <row r="41" spans="1:51" x14ac:dyDescent="0.2">
      <c r="A41" s="46">
        <f>INDEX(DiagramSAP2000!$B$3:$BU$13,10,$L$25-2)</f>
        <v>119.5659</v>
      </c>
      <c r="B41" s="46">
        <f>INDEX(DiagramSAP2000!$B$3:$BU$13,10,$L$25-1)</f>
        <v>-535.11289999999997</v>
      </c>
      <c r="C41" s="46">
        <f>INDEX(DiagramSAP2000!$B$3:$BU$13,10,$L$25)</f>
        <v>518.0598</v>
      </c>
      <c r="D41" s="23">
        <f t="shared" si="5"/>
        <v>-722.45126529276195</v>
      </c>
      <c r="E41" s="63"/>
      <c r="F41" s="63"/>
      <c r="G41" s="63"/>
      <c r="H41" s="14"/>
      <c r="I41" s="24"/>
      <c r="J41" s="13"/>
      <c r="K41" s="13"/>
      <c r="L41" s="13"/>
      <c r="M41" s="13"/>
      <c r="N41" s="13"/>
      <c r="O41" s="13"/>
      <c r="P41" s="14"/>
      <c r="Q41" s="20"/>
      <c r="R41" s="21"/>
      <c r="S41" s="21"/>
      <c r="T41" s="22"/>
      <c r="U41" s="23">
        <f t="shared" si="4"/>
        <v>0</v>
      </c>
      <c r="V41" s="2"/>
      <c r="W41" s="2"/>
      <c r="X41" s="2"/>
      <c r="Y41" s="2"/>
      <c r="Z41" s="7">
        <f>XCOMPRESSRN($B$4,$B$5,$B$6,$B$12,$B$13,$B$14,$B$15,$B$8,$B$9,$B$10,$B$7,G20,$AA$1,$B$3,$B$11)</f>
        <v>65.853467557181148</v>
      </c>
      <c r="AA41" s="7">
        <f t="array" ref="AA41:AC41">FLEXCOMPBIAXRN($B$4,$B$5,$B$6,$B$12,$B$13,$B$14,$B$15,$B$8,$B$9,$B$10,$B$7,G20,Z41,$B$3,$B$11)</f>
        <v>-359.60004901716627</v>
      </c>
      <c r="AB41" s="7">
        <v>-1043.9415244207355</v>
      </c>
      <c r="AC41" s="7">
        <v>1592.7112633269608</v>
      </c>
      <c r="AD41" s="7">
        <f>AC41*COS($X$4)+AB41*SIN($X$4)</f>
        <v>1901.2991771451225</v>
      </c>
      <c r="AE41" s="2"/>
      <c r="AF41" s="7">
        <f>XCOMPRESSRN($B$4,$B$5,$B$6,$B$12,$B$13,$B$14,$B$15,$B$8,$B$9,$B$10,$B$7,G20,$AG$1,$B$3,$B$11)</f>
        <v>40.98086633300062</v>
      </c>
      <c r="AG41" s="7">
        <f t="array" ref="AG41:AI41">FLEXCOMPBIAXRN($B$4,$B$5,$B$6,$B$12,$B$13,$B$14,$B$15,$B$8,$B$9,$B$10,$B$7,G20,AF41,$B$3,$B$11)</f>
        <v>-163.89115774583732</v>
      </c>
      <c r="AH41" s="7">
        <v>-1535.1115436374446</v>
      </c>
      <c r="AI41" s="7">
        <v>3194.2732550230539</v>
      </c>
      <c r="AJ41" s="7">
        <f>AI41*COS($X$4)+AH41*SIN($X$4)</f>
        <v>3533.8775572978952</v>
      </c>
      <c r="AK41" s="2"/>
      <c r="AL41" s="7">
        <f>XCOMPRESSRN($B$4,$B$5,$B$6,$B$12,$B$13,$B$14,$B$15,$B$8,$B$9,$B$10,$B$7,G20,$AM$1,$B$3,$B$11)</f>
        <v>25.614331174035101</v>
      </c>
      <c r="AM41" s="7">
        <f t="array" ref="AM41:AO41">FLEXCOMPBIAXRN($B$4,$B$5,$B$6,$B$12,$B$13,$B$14,$B$15,$B$8,$B$9,$B$10,$B$7,G20,AL41,$B$3,$B$11)</f>
        <v>-34.218617696955583</v>
      </c>
      <c r="AN41" s="7">
        <v>-1986.3572518388137</v>
      </c>
      <c r="AO41" s="7">
        <v>3237.9342775938098</v>
      </c>
      <c r="AP41" s="7">
        <f>AO41*COS($X$4)+AN41*SIN($X$4)</f>
        <v>3797.3119661000605</v>
      </c>
      <c r="AQ41" s="2"/>
      <c r="AR41" s="2"/>
      <c r="AS41" s="2"/>
      <c r="AT41" s="2"/>
      <c r="AU41" s="2"/>
      <c r="AY41" s="2"/>
    </row>
    <row r="42" spans="1:51" x14ac:dyDescent="0.2">
      <c r="A42" s="49">
        <f>INDEX(DiagramSAP2000!$B$3:$BU$13,11,$L$25-2)</f>
        <v>142.43039999999999</v>
      </c>
      <c r="B42" s="49">
        <f>INDEX(DiagramSAP2000!$B$3:$BU$13,11,$L$25-1)</f>
        <v>0</v>
      </c>
      <c r="C42" s="49">
        <f>INDEX(DiagramSAP2000!$B$3:$BU$13,11,$L$25)</f>
        <v>0</v>
      </c>
      <c r="D42" s="27">
        <f t="shared" si="5"/>
        <v>0</v>
      </c>
      <c r="E42" s="64"/>
      <c r="F42" s="64"/>
      <c r="G42" s="64"/>
      <c r="H42" s="37"/>
      <c r="I42" s="34"/>
      <c r="J42" s="35"/>
      <c r="K42" s="35"/>
      <c r="L42" s="35"/>
      <c r="M42" s="35"/>
      <c r="N42" s="35"/>
      <c r="O42" s="35"/>
      <c r="P42" s="37"/>
      <c r="Q42" s="38"/>
      <c r="R42" s="39"/>
      <c r="S42" s="39"/>
      <c r="T42" s="40"/>
      <c r="U42" s="23">
        <f t="shared" si="4"/>
        <v>0</v>
      </c>
      <c r="V42" s="2"/>
      <c r="W42" s="2"/>
      <c r="X42" s="2"/>
      <c r="Y42" s="2"/>
      <c r="Z42" s="7">
        <f>XCOMPRESSRN($B$4,$B$5,$B$6,$B$12,$B$13,$B$14,$B$15,$B$8,$B$9,$B$10,$B$7,G20+180,$AA$1,$B$3,$B$11)</f>
        <v>65.853467557181148</v>
      </c>
      <c r="AA42" s="7">
        <f t="array" ref="AA42:AC42">FLEXCOMPBIAXRN($B$4,$B$5,$B$6,$B$12,$B$13,$B$14,$B$15,$B$8,$B$9,$B$10,$B$7,G20+180,Z42,$B$3,$B$11)</f>
        <v>-359.60004901716627</v>
      </c>
      <c r="AB42" s="7">
        <v>1043.9415244207344</v>
      </c>
      <c r="AC42" s="7">
        <v>-1592.7112633269612</v>
      </c>
      <c r="AD42" s="7">
        <f>AC42*COS($X$4)+AB42*SIN($X$4)</f>
        <v>-1901.2991771451223</v>
      </c>
      <c r="AE42" s="2"/>
      <c r="AF42" s="7">
        <f>XCOMPRESSRN($B$4,$B$5,$B$6,$B$12,$B$13,$B$14,$B$15,$B$8,$B$9,$B$10,$B$7,G20+180,$AG$1,$B$3,$B$11)</f>
        <v>40.980866333000606</v>
      </c>
      <c r="AG42" s="7">
        <f t="array" ref="AG42:AI42">FLEXCOMPBIAXRN($B$4,$B$5,$B$6,$B$12,$B$13,$B$14,$B$15,$B$8,$B$9,$B$10,$B$7,G20+180,AF42,$B$3,$B$11)</f>
        <v>-163.89115774583723</v>
      </c>
      <c r="AH42" s="7">
        <v>1535.1115436374425</v>
      </c>
      <c r="AI42" s="7">
        <v>-3194.2732550230558</v>
      </c>
      <c r="AJ42" s="7">
        <f>AI42*COS($X$4)+AH42*SIN($X$4)</f>
        <v>-3533.8775572978961</v>
      </c>
      <c r="AK42" s="2"/>
      <c r="AL42" s="7">
        <f>XCOMPRESSRN($B$4,$B$5,$B$6,$B$12,$B$13,$B$14,$B$15,$B$8,$B$9,$B$10,$B$7,G20+180,$AM$1,$B$3,$B$11)</f>
        <v>25.614331174035097</v>
      </c>
      <c r="AM42" s="7">
        <f t="array" ref="AM42:AO42">FLEXCOMPBIAXRN($B$4,$B$5,$B$6,$B$12,$B$13,$B$14,$B$15,$B$8,$B$9,$B$10,$B$7,G20+180,AL42,$B$3,$B$11)</f>
        <v>-34.218617696955661</v>
      </c>
      <c r="AN42" s="7">
        <v>1986.3572518388116</v>
      </c>
      <c r="AO42" s="7">
        <v>-3237.9342775938126</v>
      </c>
      <c r="AP42" s="7">
        <f>AO42*COS($X$4)+AN42*SIN($X$4)</f>
        <v>-3797.3119661000624</v>
      </c>
      <c r="AQ42" s="2"/>
      <c r="AR42" s="2"/>
      <c r="AS42" s="2"/>
      <c r="AT42" s="2"/>
      <c r="AU42" s="2"/>
      <c r="AY42" s="2"/>
    </row>
    <row r="43" spans="1:51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P43" s="2"/>
      <c r="Q43" s="2"/>
      <c r="R43" s="2"/>
      <c r="S43" s="2"/>
      <c r="T43" s="2"/>
      <c r="U43" s="2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</row>
    <row r="44" spans="1:51" x14ac:dyDescent="0.2">
      <c r="A44" s="3" t="s">
        <v>84</v>
      </c>
      <c r="B44" s="3" t="s">
        <v>85</v>
      </c>
      <c r="C44" s="3" t="s">
        <v>86</v>
      </c>
      <c r="D44" s="3" t="s">
        <v>87</v>
      </c>
      <c r="E44" s="3" t="s">
        <v>88</v>
      </c>
      <c r="F44" s="3" t="s">
        <v>89</v>
      </c>
      <c r="G44" s="2"/>
      <c r="L44" s="2"/>
      <c r="V44" s="2"/>
      <c r="W44" s="3" t="s">
        <v>94</v>
      </c>
      <c r="X44" s="3" t="s">
        <v>95</v>
      </c>
      <c r="Y44" s="3" t="s">
        <v>96</v>
      </c>
      <c r="Z44" s="3" t="s">
        <v>97</v>
      </c>
      <c r="AA44" s="3" t="s">
        <v>98</v>
      </c>
      <c r="AB44" s="3" t="s">
        <v>99</v>
      </c>
      <c r="AC44" s="3" t="s">
        <v>100</v>
      </c>
      <c r="AD44" s="3" t="s">
        <v>101</v>
      </c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</row>
    <row r="45" spans="1:51" x14ac:dyDescent="0.2">
      <c r="A45" s="42">
        <f t="array" ref="A45:B49">CONCREC(B12,B13,B11)</f>
        <v>0</v>
      </c>
      <c r="B45" s="42">
        <v>0</v>
      </c>
      <c r="C45" s="42">
        <f ca="1">A45-$X$13</f>
        <v>-27.500000000000004</v>
      </c>
      <c r="D45" s="42">
        <f ca="1">B45-$X$14</f>
        <v>-27.500000000000004</v>
      </c>
      <c r="E45" s="42">
        <f ca="1">C45*COS($X$4)+D45*SIN($X$4)</f>
        <v>-10.065698604072043</v>
      </c>
      <c r="F45" s="42">
        <f ca="1">-C45*SIN($X$4)+D45*COS($X$4)</f>
        <v>-37.565698604072068</v>
      </c>
      <c r="G45" s="2"/>
      <c r="L45" s="2"/>
      <c r="V45" s="2"/>
      <c r="W45" s="42">
        <f t="array" ref="W45:Y72">REBARECN(B12,B13,B14,B15,B8,B9,B10,B7,B11)</f>
        <v>5</v>
      </c>
      <c r="X45" s="42">
        <v>5</v>
      </c>
      <c r="Y45" s="42">
        <v>3.1415926535897931</v>
      </c>
      <c r="Z45" s="18">
        <f t="shared" ref="Z45:Z72" ca="1" si="9">W45-$X$13</f>
        <v>-22.500000000000004</v>
      </c>
      <c r="AA45" s="18">
        <f t="shared" ref="AA45:AA72" ca="1" si="10">X45-$X$14</f>
        <v>-22.500000000000004</v>
      </c>
      <c r="AB45" s="18">
        <f t="shared" ref="AB45:AB72" ca="1" si="11">Z45*COS($X$4)+AA45*SIN($X$4)</f>
        <v>-8.2355715851498541</v>
      </c>
      <c r="AC45" s="18">
        <f t="shared" ref="AC45:AC72" ca="1" si="12">-Z45*SIN($X$4)+AA45*COS($X$4)</f>
        <v>-30.735571585149877</v>
      </c>
      <c r="AD45" s="18">
        <f t="shared" ref="AD45:AD72" ca="1" si="13">$X$15-AC45</f>
        <v>68.301270189221952</v>
      </c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</row>
    <row r="46" spans="1:51" x14ac:dyDescent="0.2">
      <c r="A46" s="43">
        <v>55</v>
      </c>
      <c r="B46" s="43">
        <v>0</v>
      </c>
      <c r="C46" s="43">
        <f ca="1">A46-$X$13</f>
        <v>27.499999999999996</v>
      </c>
      <c r="D46" s="43">
        <f ca="1">B46-$X$14</f>
        <v>-27.500000000000004</v>
      </c>
      <c r="E46" s="43">
        <f ca="1">C46*COS($X$4)+D46*SIN($X$4)</f>
        <v>37.565698604072068</v>
      </c>
      <c r="F46" s="43">
        <f ca="1">-C46*SIN($X$4)+D46*COS($X$4)</f>
        <v>-10.065698604072047</v>
      </c>
      <c r="G46" s="2"/>
      <c r="L46" s="2"/>
      <c r="V46" s="2"/>
      <c r="W46" s="43">
        <v>50</v>
      </c>
      <c r="X46" s="43">
        <v>5</v>
      </c>
      <c r="Y46" s="43">
        <v>3.1415926535897931</v>
      </c>
      <c r="Z46" s="23">
        <f t="shared" ca="1" si="9"/>
        <v>22.499999999999996</v>
      </c>
      <c r="AA46" s="23">
        <f t="shared" ca="1" si="10"/>
        <v>-22.500000000000004</v>
      </c>
      <c r="AB46" s="23">
        <f t="shared" ca="1" si="11"/>
        <v>30.73557158514987</v>
      </c>
      <c r="AC46" s="23">
        <f t="shared" ca="1" si="12"/>
        <v>-8.2355715851498577</v>
      </c>
      <c r="AD46" s="23">
        <f t="shared" ca="1" si="13"/>
        <v>45.801270189221924</v>
      </c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</row>
    <row r="47" spans="1:51" x14ac:dyDescent="0.2">
      <c r="A47" s="43">
        <v>55</v>
      </c>
      <c r="B47" s="43">
        <v>55</v>
      </c>
      <c r="C47" s="43">
        <f ca="1">A47-$X$13</f>
        <v>27.499999999999996</v>
      </c>
      <c r="D47" s="43">
        <f ca="1">B47-$X$14</f>
        <v>27.499999999999996</v>
      </c>
      <c r="E47" s="43">
        <f ca="1">C47*COS($X$4)+D47*SIN($X$4)</f>
        <v>10.065698604072043</v>
      </c>
      <c r="F47" s="43">
        <f ca="1">-C47*SIN($X$4)+D47*COS($X$4)</f>
        <v>37.565698604072068</v>
      </c>
      <c r="G47" s="2"/>
      <c r="L47" s="2"/>
      <c r="V47" s="2"/>
      <c r="W47" s="43">
        <v>5</v>
      </c>
      <c r="X47" s="43">
        <v>50</v>
      </c>
      <c r="Y47" s="43">
        <v>3.1415926535897931</v>
      </c>
      <c r="Z47" s="23">
        <f t="shared" ca="1" si="9"/>
        <v>-22.500000000000004</v>
      </c>
      <c r="AA47" s="23">
        <f t="shared" ca="1" si="10"/>
        <v>22.499999999999996</v>
      </c>
      <c r="AB47" s="23">
        <f t="shared" ca="1" si="11"/>
        <v>-30.735571585149877</v>
      </c>
      <c r="AC47" s="23">
        <f t="shared" ca="1" si="12"/>
        <v>8.235571585149847</v>
      </c>
      <c r="AD47" s="23">
        <f t="shared" ca="1" si="13"/>
        <v>29.330127018922219</v>
      </c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</row>
    <row r="48" spans="1:51" x14ac:dyDescent="0.2">
      <c r="A48" s="43">
        <v>0</v>
      </c>
      <c r="B48" s="43">
        <v>55</v>
      </c>
      <c r="C48" s="43">
        <f ca="1">A48-$X$13</f>
        <v>-27.500000000000004</v>
      </c>
      <c r="D48" s="43">
        <f ca="1">B48-$X$14</f>
        <v>27.499999999999996</v>
      </c>
      <c r="E48" s="43">
        <f ca="1">C48*COS($X$4)+D48*SIN($X$4)</f>
        <v>-37.565698604072068</v>
      </c>
      <c r="F48" s="43">
        <f ca="1">-C48*SIN($X$4)+D48*COS($X$4)</f>
        <v>10.06569860407204</v>
      </c>
      <c r="G48" s="2"/>
      <c r="L48" s="2"/>
      <c r="V48" s="2"/>
      <c r="W48" s="43">
        <v>50</v>
      </c>
      <c r="X48" s="43">
        <v>50</v>
      </c>
      <c r="Y48" s="43">
        <v>3.1415926535897931</v>
      </c>
      <c r="Z48" s="23">
        <f t="shared" ca="1" si="9"/>
        <v>22.499999999999996</v>
      </c>
      <c r="AA48" s="23">
        <f t="shared" ca="1" si="10"/>
        <v>22.499999999999996</v>
      </c>
      <c r="AB48" s="23">
        <f t="shared" ca="1" si="11"/>
        <v>8.2355715851498505</v>
      </c>
      <c r="AC48" s="23">
        <f t="shared" ca="1" si="12"/>
        <v>30.73557158514987</v>
      </c>
      <c r="AD48" s="23">
        <f t="shared" ca="1" si="13"/>
        <v>6.8301270189221981</v>
      </c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</row>
    <row r="49" spans="1:51" x14ac:dyDescent="0.2">
      <c r="A49" s="44">
        <v>0</v>
      </c>
      <c r="B49" s="44">
        <v>0</v>
      </c>
      <c r="C49" s="44">
        <f ca="1">A49-$X$13</f>
        <v>-27.500000000000004</v>
      </c>
      <c r="D49" s="44">
        <f ca="1">B49-$X$14</f>
        <v>-27.500000000000004</v>
      </c>
      <c r="E49" s="44">
        <f ca="1">C49*COS($X$4)+D49*SIN($X$4)</f>
        <v>-10.065698604072043</v>
      </c>
      <c r="F49" s="44">
        <f ca="1">-C49*SIN($X$4)+D49*COS($X$4)</f>
        <v>-37.565698604072068</v>
      </c>
      <c r="G49" s="2"/>
      <c r="L49" s="2"/>
      <c r="V49" s="2"/>
      <c r="W49" s="43">
        <v>20</v>
      </c>
      <c r="X49" s="43">
        <v>5</v>
      </c>
      <c r="Y49" s="43">
        <v>3.1415926535897931</v>
      </c>
      <c r="Z49" s="23">
        <f t="shared" ca="1" si="9"/>
        <v>-7.5000000000000036</v>
      </c>
      <c r="AA49" s="23">
        <f t="shared" ca="1" si="10"/>
        <v>-22.500000000000004</v>
      </c>
      <c r="AB49" s="23">
        <f t="shared" ca="1" si="11"/>
        <v>4.7548094716167215</v>
      </c>
      <c r="AC49" s="23">
        <f t="shared" ca="1" si="12"/>
        <v>-23.23557158514987</v>
      </c>
      <c r="AD49" s="23">
        <f t="shared" ca="1" si="13"/>
        <v>60.801270189221938</v>
      </c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</row>
    <row r="50" spans="1:51" x14ac:dyDescent="0.2">
      <c r="A50" s="2"/>
      <c r="B50" s="2"/>
      <c r="C50" s="2"/>
      <c r="D50" s="2"/>
      <c r="E50" s="2"/>
      <c r="F50" s="2"/>
      <c r="G50" s="2"/>
      <c r="L50" s="2"/>
      <c r="V50" s="2"/>
      <c r="W50" s="43">
        <v>20</v>
      </c>
      <c r="X50" s="43">
        <v>50</v>
      </c>
      <c r="Y50" s="43">
        <v>3.1415926535897931</v>
      </c>
      <c r="Z50" s="23">
        <f t="shared" ca="1" si="9"/>
        <v>-7.5000000000000036</v>
      </c>
      <c r="AA50" s="23">
        <f t="shared" ca="1" si="10"/>
        <v>22.499999999999996</v>
      </c>
      <c r="AB50" s="23">
        <f t="shared" ca="1" si="11"/>
        <v>-17.745190528383301</v>
      </c>
      <c r="AC50" s="23">
        <f t="shared" ca="1" si="12"/>
        <v>15.735571585149854</v>
      </c>
      <c r="AD50" s="23">
        <f t="shared" ca="1" si="13"/>
        <v>21.830127018922212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</row>
    <row r="51" spans="1:51" x14ac:dyDescent="0.2">
      <c r="A51" s="2"/>
      <c r="B51" s="2"/>
      <c r="C51" s="2"/>
      <c r="D51" s="2"/>
      <c r="E51" s="2"/>
      <c r="F51" s="2"/>
      <c r="G51" s="2"/>
      <c r="L51" s="2"/>
      <c r="V51" s="2"/>
      <c r="W51" s="43">
        <v>35</v>
      </c>
      <c r="X51" s="43">
        <v>5</v>
      </c>
      <c r="Y51" s="43">
        <v>3.1415926535897931</v>
      </c>
      <c r="Z51" s="23">
        <f t="shared" ca="1" si="9"/>
        <v>7.4999999999999964</v>
      </c>
      <c r="AA51" s="23">
        <f t="shared" ca="1" si="10"/>
        <v>-22.500000000000004</v>
      </c>
      <c r="AB51" s="23">
        <f t="shared" ca="1" si="11"/>
        <v>17.745190528383297</v>
      </c>
      <c r="AC51" s="23">
        <f t="shared" ca="1" si="12"/>
        <v>-15.735571585149865</v>
      </c>
      <c r="AD51" s="23">
        <f t="shared" ca="1" si="13"/>
        <v>53.301270189221931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</row>
    <row r="52" spans="1:51" x14ac:dyDescent="0.2">
      <c r="A52" s="2"/>
      <c r="B52" s="2"/>
      <c r="C52" s="2"/>
      <c r="D52" s="2"/>
      <c r="E52" s="2"/>
      <c r="F52" s="2"/>
      <c r="G52" s="2"/>
      <c r="L52" s="2"/>
      <c r="V52" s="2"/>
      <c r="W52" s="43">
        <v>35</v>
      </c>
      <c r="X52" s="43">
        <v>50</v>
      </c>
      <c r="Y52" s="43">
        <v>3.1415926535897931</v>
      </c>
      <c r="Z52" s="23">
        <f t="shared" ca="1" si="9"/>
        <v>7.4999999999999964</v>
      </c>
      <c r="AA52" s="23">
        <f t="shared" ca="1" si="10"/>
        <v>22.499999999999996</v>
      </c>
      <c r="AB52" s="23">
        <f t="shared" ca="1" si="11"/>
        <v>-4.7548094716167242</v>
      </c>
      <c r="AC52" s="23">
        <f t="shared" ca="1" si="12"/>
        <v>23.235571585149863</v>
      </c>
      <c r="AD52" s="23">
        <f t="shared" ca="1" si="13"/>
        <v>14.330127018922205</v>
      </c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</row>
    <row r="53" spans="1:51" x14ac:dyDescent="0.2">
      <c r="A53" s="2"/>
      <c r="B53" s="2"/>
      <c r="C53" s="2"/>
      <c r="D53" s="2"/>
      <c r="E53" s="2"/>
      <c r="F53" s="2"/>
      <c r="G53" s="2"/>
      <c r="L53" s="2"/>
      <c r="V53" s="2"/>
      <c r="W53" s="43">
        <v>5</v>
      </c>
      <c r="X53" s="43">
        <v>20</v>
      </c>
      <c r="Y53" s="43">
        <v>3.1415926535897931</v>
      </c>
      <c r="Z53" s="23">
        <f t="shared" ca="1" si="9"/>
        <v>-22.500000000000004</v>
      </c>
      <c r="AA53" s="23">
        <f t="shared" ca="1" si="10"/>
        <v>-7.5000000000000036</v>
      </c>
      <c r="AB53" s="23">
        <f t="shared" ca="1" si="11"/>
        <v>-15.735571585149861</v>
      </c>
      <c r="AC53" s="23">
        <f t="shared" ca="1" si="12"/>
        <v>-17.745190528383304</v>
      </c>
      <c r="AD53" s="23">
        <f t="shared" ca="1" si="13"/>
        <v>55.310889132455372</v>
      </c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</row>
    <row r="54" spans="1:5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L54" s="2"/>
      <c r="V54" s="2"/>
      <c r="W54" s="43">
        <v>50</v>
      </c>
      <c r="X54" s="43">
        <v>20</v>
      </c>
      <c r="Y54" s="43">
        <v>3.1415926535897931</v>
      </c>
      <c r="Z54" s="23">
        <f t="shared" ca="1" si="9"/>
        <v>22.499999999999996</v>
      </c>
      <c r="AA54" s="23">
        <f t="shared" ca="1" si="10"/>
        <v>-7.5000000000000036</v>
      </c>
      <c r="AB54" s="23">
        <f t="shared" ca="1" si="11"/>
        <v>23.235571585149863</v>
      </c>
      <c r="AC54" s="23">
        <f t="shared" ca="1" si="12"/>
        <v>4.754809471616718</v>
      </c>
      <c r="AD54" s="23">
        <f t="shared" ca="1" si="13"/>
        <v>32.810889132455351</v>
      </c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</row>
    <row r="55" spans="1:5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L55" s="2"/>
      <c r="V55" s="2"/>
      <c r="W55" s="43">
        <v>5</v>
      </c>
      <c r="X55" s="43">
        <v>35</v>
      </c>
      <c r="Y55" s="43">
        <v>3.1415926535897931</v>
      </c>
      <c r="Z55" s="23">
        <f t="shared" ca="1" si="9"/>
        <v>-22.500000000000004</v>
      </c>
      <c r="AA55" s="23">
        <f t="shared" ca="1" si="10"/>
        <v>7.4999999999999964</v>
      </c>
      <c r="AB55" s="23">
        <f t="shared" ca="1" si="11"/>
        <v>-23.23557158514987</v>
      </c>
      <c r="AC55" s="23">
        <f t="shared" ca="1" si="12"/>
        <v>-4.7548094716167277</v>
      </c>
      <c r="AD55" s="23">
        <f t="shared" ca="1" si="13"/>
        <v>42.320508075688792</v>
      </c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</row>
    <row r="56" spans="1:5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L56" s="2"/>
      <c r="V56" s="2"/>
      <c r="W56" s="43">
        <v>50</v>
      </c>
      <c r="X56" s="43">
        <v>35</v>
      </c>
      <c r="Y56" s="43">
        <v>3.1415926535897931</v>
      </c>
      <c r="Z56" s="23">
        <f t="shared" ca="1" si="9"/>
        <v>22.499999999999996</v>
      </c>
      <c r="AA56" s="23">
        <f t="shared" ca="1" si="10"/>
        <v>7.4999999999999964</v>
      </c>
      <c r="AB56" s="23">
        <f t="shared" ca="1" si="11"/>
        <v>15.735571585149858</v>
      </c>
      <c r="AC56" s="23">
        <f t="shared" ca="1" si="12"/>
        <v>17.745190528383294</v>
      </c>
      <c r="AD56" s="23">
        <f t="shared" ca="1" si="13"/>
        <v>19.820508075688775</v>
      </c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</row>
    <row r="57" spans="1:5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L57" s="2"/>
      <c r="V57" s="2"/>
      <c r="W57" s="43" t="e">
        <v>#N/A</v>
      </c>
      <c r="X57" s="43" t="e">
        <v>#N/A</v>
      </c>
      <c r="Y57" s="43" t="e">
        <v>#N/A</v>
      </c>
      <c r="Z57" s="23" t="e">
        <f t="shared" ca="1" si="9"/>
        <v>#N/A</v>
      </c>
      <c r="AA57" s="23" t="e">
        <f t="shared" ca="1" si="10"/>
        <v>#N/A</v>
      </c>
      <c r="AB57" s="23" t="e">
        <f t="shared" ca="1" si="11"/>
        <v>#N/A</v>
      </c>
      <c r="AC57" s="23" t="e">
        <f t="shared" ca="1" si="12"/>
        <v>#N/A</v>
      </c>
      <c r="AD57" s="23" t="e">
        <f t="shared" ca="1" si="13"/>
        <v>#N/A</v>
      </c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</row>
    <row r="58" spans="1:5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L58" s="2"/>
      <c r="V58" s="2"/>
      <c r="W58" s="43" t="e">
        <v>#N/A</v>
      </c>
      <c r="X58" s="43" t="e">
        <v>#N/A</v>
      </c>
      <c r="Y58" s="43" t="e">
        <v>#N/A</v>
      </c>
      <c r="Z58" s="23" t="e">
        <f t="shared" ca="1" si="9"/>
        <v>#N/A</v>
      </c>
      <c r="AA58" s="23" t="e">
        <f t="shared" ca="1" si="10"/>
        <v>#N/A</v>
      </c>
      <c r="AB58" s="23" t="e">
        <f t="shared" ca="1" si="11"/>
        <v>#N/A</v>
      </c>
      <c r="AC58" s="23" t="e">
        <f t="shared" ca="1" si="12"/>
        <v>#N/A</v>
      </c>
      <c r="AD58" s="23" t="e">
        <f t="shared" ca="1" si="13"/>
        <v>#N/A</v>
      </c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</row>
    <row r="59" spans="1:5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L59" s="2"/>
      <c r="V59" s="2"/>
      <c r="W59" s="43" t="e">
        <v>#N/A</v>
      </c>
      <c r="X59" s="43" t="e">
        <v>#N/A</v>
      </c>
      <c r="Y59" s="43" t="e">
        <v>#N/A</v>
      </c>
      <c r="Z59" s="23" t="e">
        <f t="shared" ca="1" si="9"/>
        <v>#N/A</v>
      </c>
      <c r="AA59" s="23" t="e">
        <f t="shared" ca="1" si="10"/>
        <v>#N/A</v>
      </c>
      <c r="AB59" s="23" t="e">
        <f t="shared" ca="1" si="11"/>
        <v>#N/A</v>
      </c>
      <c r="AC59" s="23" t="e">
        <f t="shared" ca="1" si="12"/>
        <v>#N/A</v>
      </c>
      <c r="AD59" s="23" t="e">
        <f t="shared" ca="1" si="13"/>
        <v>#N/A</v>
      </c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</row>
    <row r="60" spans="1:5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L60" s="2"/>
      <c r="V60" s="2"/>
      <c r="W60" s="43" t="e">
        <v>#N/A</v>
      </c>
      <c r="X60" s="43" t="e">
        <v>#N/A</v>
      </c>
      <c r="Y60" s="43" t="e">
        <v>#N/A</v>
      </c>
      <c r="Z60" s="23" t="e">
        <f t="shared" ca="1" si="9"/>
        <v>#N/A</v>
      </c>
      <c r="AA60" s="23" t="e">
        <f t="shared" ca="1" si="10"/>
        <v>#N/A</v>
      </c>
      <c r="AB60" s="23" t="e">
        <f t="shared" ca="1" si="11"/>
        <v>#N/A</v>
      </c>
      <c r="AC60" s="23" t="e">
        <f t="shared" ca="1" si="12"/>
        <v>#N/A</v>
      </c>
      <c r="AD60" s="23" t="e">
        <f t="shared" ca="1" si="13"/>
        <v>#N/A</v>
      </c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</row>
    <row r="61" spans="1:5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L61" s="2"/>
      <c r="V61" s="2"/>
      <c r="W61" s="43" t="e">
        <v>#N/A</v>
      </c>
      <c r="X61" s="43" t="e">
        <v>#N/A</v>
      </c>
      <c r="Y61" s="43" t="e">
        <v>#N/A</v>
      </c>
      <c r="Z61" s="23" t="e">
        <f t="shared" ca="1" si="9"/>
        <v>#N/A</v>
      </c>
      <c r="AA61" s="23" t="e">
        <f t="shared" ca="1" si="10"/>
        <v>#N/A</v>
      </c>
      <c r="AB61" s="23" t="e">
        <f t="shared" ca="1" si="11"/>
        <v>#N/A</v>
      </c>
      <c r="AC61" s="23" t="e">
        <f t="shared" ca="1" si="12"/>
        <v>#N/A</v>
      </c>
      <c r="AD61" s="23" t="e">
        <f t="shared" ca="1" si="13"/>
        <v>#N/A</v>
      </c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</row>
    <row r="62" spans="1:5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L62" s="2"/>
      <c r="V62" s="2"/>
      <c r="W62" s="43" t="e">
        <v>#N/A</v>
      </c>
      <c r="X62" s="43" t="e">
        <v>#N/A</v>
      </c>
      <c r="Y62" s="43" t="e">
        <v>#N/A</v>
      </c>
      <c r="Z62" s="23" t="e">
        <f t="shared" ca="1" si="9"/>
        <v>#N/A</v>
      </c>
      <c r="AA62" s="23" t="e">
        <f t="shared" ca="1" si="10"/>
        <v>#N/A</v>
      </c>
      <c r="AB62" s="23" t="e">
        <f t="shared" ca="1" si="11"/>
        <v>#N/A</v>
      </c>
      <c r="AC62" s="23" t="e">
        <f t="shared" ca="1" si="12"/>
        <v>#N/A</v>
      </c>
      <c r="AD62" s="23" t="e">
        <f t="shared" ca="1" si="13"/>
        <v>#N/A</v>
      </c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</row>
    <row r="63" spans="1:5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L63" s="2"/>
      <c r="V63" s="2"/>
      <c r="W63" s="43" t="e">
        <v>#N/A</v>
      </c>
      <c r="X63" s="43" t="e">
        <v>#N/A</v>
      </c>
      <c r="Y63" s="43" t="e">
        <v>#N/A</v>
      </c>
      <c r="Z63" s="23" t="e">
        <f t="shared" ca="1" si="9"/>
        <v>#N/A</v>
      </c>
      <c r="AA63" s="23" t="e">
        <f t="shared" ca="1" si="10"/>
        <v>#N/A</v>
      </c>
      <c r="AB63" s="23" t="e">
        <f t="shared" ca="1" si="11"/>
        <v>#N/A</v>
      </c>
      <c r="AC63" s="23" t="e">
        <f t="shared" ca="1" si="12"/>
        <v>#N/A</v>
      </c>
      <c r="AD63" s="23" t="e">
        <f t="shared" ca="1" si="13"/>
        <v>#N/A</v>
      </c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</row>
    <row r="64" spans="1:5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L64" s="2"/>
      <c r="V64" s="2"/>
      <c r="W64" s="43" t="e">
        <v>#N/A</v>
      </c>
      <c r="X64" s="43" t="e">
        <v>#N/A</v>
      </c>
      <c r="Y64" s="43" t="e">
        <v>#N/A</v>
      </c>
      <c r="Z64" s="23" t="e">
        <f t="shared" ca="1" si="9"/>
        <v>#N/A</v>
      </c>
      <c r="AA64" s="23" t="e">
        <f t="shared" ca="1" si="10"/>
        <v>#N/A</v>
      </c>
      <c r="AB64" s="23" t="e">
        <f t="shared" ca="1" si="11"/>
        <v>#N/A</v>
      </c>
      <c r="AC64" s="23" t="e">
        <f t="shared" ca="1" si="12"/>
        <v>#N/A</v>
      </c>
      <c r="AD64" s="23" t="e">
        <f t="shared" ca="1" si="13"/>
        <v>#N/A</v>
      </c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</row>
    <row r="65" spans="1:5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L65" s="2"/>
      <c r="V65" s="2"/>
      <c r="W65" s="43" t="e">
        <v>#N/A</v>
      </c>
      <c r="X65" s="43" t="e">
        <v>#N/A</v>
      </c>
      <c r="Y65" s="43" t="e">
        <v>#N/A</v>
      </c>
      <c r="Z65" s="23" t="e">
        <f t="shared" ca="1" si="9"/>
        <v>#N/A</v>
      </c>
      <c r="AA65" s="23" t="e">
        <f t="shared" ca="1" si="10"/>
        <v>#N/A</v>
      </c>
      <c r="AB65" s="23" t="e">
        <f t="shared" ca="1" si="11"/>
        <v>#N/A</v>
      </c>
      <c r="AC65" s="23" t="e">
        <f t="shared" ca="1" si="12"/>
        <v>#N/A</v>
      </c>
      <c r="AD65" s="23" t="e">
        <f t="shared" ca="1" si="13"/>
        <v>#N/A</v>
      </c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</row>
    <row r="66" spans="1:5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L66" s="2"/>
      <c r="V66" s="2"/>
      <c r="W66" s="43" t="e">
        <v>#N/A</v>
      </c>
      <c r="X66" s="43" t="e">
        <v>#N/A</v>
      </c>
      <c r="Y66" s="43" t="e">
        <v>#N/A</v>
      </c>
      <c r="Z66" s="23" t="e">
        <f t="shared" ca="1" si="9"/>
        <v>#N/A</v>
      </c>
      <c r="AA66" s="23" t="e">
        <f t="shared" ca="1" si="10"/>
        <v>#N/A</v>
      </c>
      <c r="AB66" s="23" t="e">
        <f t="shared" ca="1" si="11"/>
        <v>#N/A</v>
      </c>
      <c r="AC66" s="23" t="e">
        <f t="shared" ca="1" si="12"/>
        <v>#N/A</v>
      </c>
      <c r="AD66" s="23" t="e">
        <f t="shared" ca="1" si="13"/>
        <v>#N/A</v>
      </c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</row>
    <row r="67" spans="1:5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L67" s="2"/>
      <c r="V67" s="2"/>
      <c r="W67" s="43" t="e">
        <v>#N/A</v>
      </c>
      <c r="X67" s="43" t="e">
        <v>#N/A</v>
      </c>
      <c r="Y67" s="43" t="e">
        <v>#N/A</v>
      </c>
      <c r="Z67" s="23" t="e">
        <f t="shared" ca="1" si="9"/>
        <v>#N/A</v>
      </c>
      <c r="AA67" s="23" t="e">
        <f t="shared" ca="1" si="10"/>
        <v>#N/A</v>
      </c>
      <c r="AB67" s="23" t="e">
        <f t="shared" ca="1" si="11"/>
        <v>#N/A</v>
      </c>
      <c r="AC67" s="23" t="e">
        <f t="shared" ca="1" si="12"/>
        <v>#N/A</v>
      </c>
      <c r="AD67" s="23" t="e">
        <f t="shared" ca="1" si="13"/>
        <v>#N/A</v>
      </c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</row>
    <row r="68" spans="1:5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L68" s="2"/>
      <c r="V68" s="2"/>
      <c r="W68" s="43" t="e">
        <v>#N/A</v>
      </c>
      <c r="X68" s="43" t="e">
        <v>#N/A</v>
      </c>
      <c r="Y68" s="43" t="e">
        <v>#N/A</v>
      </c>
      <c r="Z68" s="23" t="e">
        <f t="shared" ca="1" si="9"/>
        <v>#N/A</v>
      </c>
      <c r="AA68" s="23" t="e">
        <f t="shared" ca="1" si="10"/>
        <v>#N/A</v>
      </c>
      <c r="AB68" s="23" t="e">
        <f t="shared" ca="1" si="11"/>
        <v>#N/A</v>
      </c>
      <c r="AC68" s="23" t="e">
        <f t="shared" ca="1" si="12"/>
        <v>#N/A</v>
      </c>
      <c r="AD68" s="23" t="e">
        <f t="shared" ca="1" si="13"/>
        <v>#N/A</v>
      </c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</row>
    <row r="69" spans="1:5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L69" s="2"/>
      <c r="O69" s="2"/>
      <c r="V69" s="2"/>
      <c r="W69" s="43" t="e">
        <v>#N/A</v>
      </c>
      <c r="X69" s="43" t="e">
        <v>#N/A</v>
      </c>
      <c r="Y69" s="43" t="e">
        <v>#N/A</v>
      </c>
      <c r="Z69" s="23" t="e">
        <f t="shared" ca="1" si="9"/>
        <v>#N/A</v>
      </c>
      <c r="AA69" s="23" t="e">
        <f t="shared" ca="1" si="10"/>
        <v>#N/A</v>
      </c>
      <c r="AB69" s="23" t="e">
        <f t="shared" ca="1" si="11"/>
        <v>#N/A</v>
      </c>
      <c r="AC69" s="23" t="e">
        <f t="shared" ca="1" si="12"/>
        <v>#N/A</v>
      </c>
      <c r="AD69" s="23" t="e">
        <f t="shared" ca="1" si="13"/>
        <v>#N/A</v>
      </c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</row>
    <row r="70" spans="1:5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L70" s="2"/>
      <c r="M70" s="2"/>
      <c r="N70" s="2"/>
      <c r="O70" s="2"/>
      <c r="V70" s="2"/>
      <c r="W70" s="43" t="e">
        <v>#N/A</v>
      </c>
      <c r="X70" s="43" t="e">
        <v>#N/A</v>
      </c>
      <c r="Y70" s="43" t="e">
        <v>#N/A</v>
      </c>
      <c r="Z70" s="23" t="e">
        <f t="shared" ca="1" si="9"/>
        <v>#N/A</v>
      </c>
      <c r="AA70" s="23" t="e">
        <f t="shared" ca="1" si="10"/>
        <v>#N/A</v>
      </c>
      <c r="AB70" s="23" t="e">
        <f t="shared" ca="1" si="11"/>
        <v>#N/A</v>
      </c>
      <c r="AC70" s="23" t="e">
        <f t="shared" ca="1" si="12"/>
        <v>#N/A</v>
      </c>
      <c r="AD70" s="23" t="e">
        <f t="shared" ca="1" si="13"/>
        <v>#N/A</v>
      </c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</row>
    <row r="71" spans="1:5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L71" s="2"/>
      <c r="M71" s="2"/>
      <c r="N71" s="2"/>
      <c r="O71" s="2"/>
      <c r="V71" s="2"/>
      <c r="W71" s="43" t="e">
        <v>#N/A</v>
      </c>
      <c r="X71" s="43" t="e">
        <v>#N/A</v>
      </c>
      <c r="Y71" s="43" t="e">
        <v>#N/A</v>
      </c>
      <c r="Z71" s="23" t="e">
        <f t="shared" ca="1" si="9"/>
        <v>#N/A</v>
      </c>
      <c r="AA71" s="23" t="e">
        <f t="shared" ca="1" si="10"/>
        <v>#N/A</v>
      </c>
      <c r="AB71" s="23" t="e">
        <f t="shared" ca="1" si="11"/>
        <v>#N/A</v>
      </c>
      <c r="AC71" s="23" t="e">
        <f t="shared" ca="1" si="12"/>
        <v>#N/A</v>
      </c>
      <c r="AD71" s="23" t="e">
        <f t="shared" ca="1" si="13"/>
        <v>#N/A</v>
      </c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</row>
    <row r="72" spans="1:5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L72" s="2"/>
      <c r="M72" s="2"/>
      <c r="N72" s="2"/>
      <c r="O72" s="2"/>
      <c r="V72" s="2"/>
      <c r="W72" s="44" t="e">
        <v>#N/A</v>
      </c>
      <c r="X72" s="44" t="e">
        <v>#N/A</v>
      </c>
      <c r="Y72" s="44" t="e">
        <v>#N/A</v>
      </c>
      <c r="Z72" s="27" t="e">
        <f t="shared" ca="1" si="9"/>
        <v>#N/A</v>
      </c>
      <c r="AA72" s="27" t="e">
        <f t="shared" ca="1" si="10"/>
        <v>#N/A</v>
      </c>
      <c r="AB72" s="27" t="e">
        <f t="shared" ca="1" si="11"/>
        <v>#N/A</v>
      </c>
      <c r="AC72" s="27" t="e">
        <f t="shared" ca="1" si="12"/>
        <v>#N/A</v>
      </c>
      <c r="AD72" s="27" t="e">
        <f t="shared" ca="1" si="13"/>
        <v>#N/A</v>
      </c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</row>
    <row r="73" spans="1:5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L73" s="2"/>
      <c r="M73" s="2"/>
      <c r="N73" s="2"/>
      <c r="O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</row>
    <row r="74" spans="1:5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L74" s="2"/>
      <c r="M74" s="2"/>
      <c r="N74" s="2"/>
      <c r="O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</row>
    <row r="75" spans="1:5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L75" s="2"/>
      <c r="M75" s="2"/>
      <c r="N75" s="2"/>
      <c r="O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</row>
    <row r="76" spans="1:5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</row>
    <row r="77" spans="1:5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</row>
    <row r="78" spans="1:5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</row>
    <row r="79" spans="1:5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</row>
    <row r="80" spans="1:5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</row>
    <row r="81" spans="1:5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</row>
    <row r="82" spans="1:5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</row>
    <row r="83" spans="1:5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</row>
    <row r="84" spans="1:5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</row>
    <row r="85" spans="1:5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</row>
    <row r="86" spans="1:5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</row>
    <row r="87" spans="1:5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</row>
    <row r="88" spans="1:5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</row>
    <row r="89" spans="1:5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</row>
    <row r="90" spans="1:5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</row>
    <row r="91" spans="1:5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</row>
    <row r="92" spans="1:5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</row>
    <row r="93" spans="1:5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</row>
    <row r="94" spans="1:5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</row>
    <row r="95" spans="1:5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</row>
    <row r="96" spans="1:5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</row>
    <row r="97" spans="1:5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</row>
    <row r="98" spans="1:5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</row>
    <row r="99" spans="1:5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</row>
    <row r="100" spans="1:5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</row>
    <row r="101" spans="1:5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</row>
    <row r="102" spans="1:5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</row>
    <row r="103" spans="1:5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</row>
    <row r="104" spans="1:5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</row>
    <row r="105" spans="1:5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</row>
    <row r="106" spans="1:5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</row>
    <row r="107" spans="1:5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</row>
    <row r="108" spans="1:5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</row>
    <row r="109" spans="1:5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</row>
    <row r="110" spans="1:5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</row>
    <row r="111" spans="1:5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</row>
    <row r="112" spans="1:5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</row>
    <row r="113" spans="1:5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</row>
    <row r="114" spans="1:5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</row>
    <row r="115" spans="1:5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</row>
    <row r="116" spans="1:5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</row>
    <row r="117" spans="1:5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</row>
    <row r="118" spans="1:5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</row>
    <row r="119" spans="1:5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</row>
    <row r="120" spans="1:5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</row>
    <row r="121" spans="1:5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</row>
    <row r="122" spans="1:5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</row>
    <row r="123" spans="1:5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</row>
    <row r="124" spans="1:5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</row>
    <row r="125" spans="1:5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</row>
    <row r="126" spans="1:5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</row>
    <row r="127" spans="1:5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</row>
    <row r="128" spans="1:5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</row>
    <row r="129" spans="1:5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</row>
    <row r="130" spans="1:5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</row>
    <row r="131" spans="1:5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</row>
    <row r="132" spans="1:5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</row>
    <row r="133" spans="1:5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</row>
    <row r="134" spans="1:5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</row>
    <row r="135" spans="1:5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</row>
    <row r="136" spans="1:5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</row>
    <row r="137" spans="1:5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</row>
    <row r="138" spans="1:5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</row>
    <row r="139" spans="1:5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</row>
    <row r="140" spans="1:5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</row>
    <row r="141" spans="1:5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</row>
    <row r="142" spans="1:5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</row>
    <row r="143" spans="1:5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</row>
    <row r="144" spans="1:5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</row>
    <row r="145" spans="1:5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</row>
    <row r="146" spans="1:5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</row>
    <row r="147" spans="1:5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</row>
    <row r="148" spans="1:5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</row>
    <row r="149" spans="1:5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</row>
    <row r="150" spans="1:5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</row>
    <row r="151" spans="1:5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</row>
    <row r="152" spans="1:5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</row>
    <row r="153" spans="1:5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</row>
    <row r="154" spans="1:5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</row>
    <row r="155" spans="1:5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</row>
    <row r="156" spans="1:5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</row>
    <row r="157" spans="1:5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</row>
    <row r="158" spans="1:5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</row>
    <row r="159" spans="1:5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</row>
    <row r="160" spans="1:5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</row>
    <row r="161" spans="1:5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</row>
    <row r="162" spans="1:5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</row>
    <row r="163" spans="1:5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</row>
    <row r="164" spans="1:5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</row>
    <row r="165" spans="1:5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</row>
    <row r="166" spans="1:5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</row>
    <row r="167" spans="1:5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</row>
    <row r="168" spans="1:5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</row>
    <row r="169" spans="1:5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</row>
    <row r="170" spans="1:5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</row>
    <row r="171" spans="1:5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</row>
    <row r="172" spans="1:5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</row>
    <row r="173" spans="1:5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</row>
    <row r="174" spans="1:5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</row>
    <row r="175" spans="1:5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</row>
    <row r="176" spans="1:5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</row>
    <row r="177" spans="1:5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</row>
  </sheetData>
  <conditionalFormatting sqref="W45:AD72">
    <cfRule type="containsErrors" dxfId="0" priority="1">
      <formula>ISERROR(W45)</formula>
    </cfRule>
  </conditionalFormatting>
  <dataValidations count="1">
    <dataValidation type="list" allowBlank="1" showInputMessage="1" showErrorMessage="1" sqref="G20" xr:uid="{222A3747-5110-49E5-8FF2-FE2D1CCC7019}">
      <formula1>$O$9:$O$32</formula1>
    </dataValidation>
  </dataValidations>
  <pageMargins left="0.7" right="0.7" top="0.75" bottom="0.75" header="0.3" footer="0.3"/>
  <ignoredErrors>
    <ignoredError sqref="Z45:AD72" evalError="1"/>
  </ignoredErrors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38876-AE85-40C2-A3D9-26A2B0EC7459}">
  <sheetPr codeName="Sheet17"/>
  <dimension ref="A1:BU13"/>
  <sheetViews>
    <sheetView zoomScale="85" zoomScaleNormal="85" workbookViewId="0"/>
  </sheetViews>
  <sheetFormatPr defaultColWidth="9.140625" defaultRowHeight="12.75" x14ac:dyDescent="0.2"/>
  <cols>
    <col min="1" max="16384" width="9.140625" style="48"/>
  </cols>
  <sheetData>
    <row r="1" spans="1:73" x14ac:dyDescent="0.2">
      <c r="B1" s="50" t="s">
        <v>140</v>
      </c>
      <c r="C1" s="52" t="s">
        <v>141</v>
      </c>
      <c r="D1" s="53"/>
      <c r="E1" s="50" t="s">
        <v>142</v>
      </c>
      <c r="F1" s="52" t="s">
        <v>143</v>
      </c>
      <c r="G1" s="53"/>
      <c r="H1" s="50" t="s">
        <v>144</v>
      </c>
      <c r="I1" s="52" t="s">
        <v>145</v>
      </c>
      <c r="J1" s="53"/>
      <c r="K1" s="50" t="s">
        <v>146</v>
      </c>
      <c r="L1" s="52" t="s">
        <v>147</v>
      </c>
      <c r="M1" s="53"/>
      <c r="N1" s="50" t="s">
        <v>148</v>
      </c>
      <c r="O1" s="52" t="s">
        <v>149</v>
      </c>
      <c r="P1" s="53"/>
      <c r="Q1" s="50" t="s">
        <v>150</v>
      </c>
      <c r="R1" s="52" t="s">
        <v>151</v>
      </c>
      <c r="S1" s="53"/>
      <c r="T1" s="50" t="s">
        <v>152</v>
      </c>
      <c r="U1" s="52" t="s">
        <v>153</v>
      </c>
      <c r="V1" s="53"/>
      <c r="W1" s="50" t="s">
        <v>154</v>
      </c>
      <c r="X1" s="52" t="s">
        <v>155</v>
      </c>
      <c r="Y1" s="53"/>
      <c r="Z1" s="50" t="s">
        <v>156</v>
      </c>
      <c r="AA1" s="52" t="s">
        <v>157</v>
      </c>
      <c r="AB1" s="53"/>
      <c r="AC1" s="50" t="s">
        <v>158</v>
      </c>
      <c r="AD1" s="52" t="s">
        <v>159</v>
      </c>
      <c r="AE1" s="53"/>
      <c r="AF1" s="50" t="s">
        <v>160</v>
      </c>
      <c r="AG1" s="52" t="s">
        <v>161</v>
      </c>
      <c r="AH1" s="53"/>
      <c r="AI1" s="50" t="s">
        <v>162</v>
      </c>
      <c r="AJ1" s="52" t="s">
        <v>163</v>
      </c>
      <c r="AK1" s="53"/>
      <c r="AL1" s="50" t="s">
        <v>164</v>
      </c>
      <c r="AM1" s="52" t="s">
        <v>165</v>
      </c>
      <c r="AN1" s="53"/>
      <c r="AO1" s="50" t="s">
        <v>166</v>
      </c>
      <c r="AP1" s="52" t="s">
        <v>167</v>
      </c>
      <c r="AQ1" s="53"/>
      <c r="AR1" s="50" t="s">
        <v>168</v>
      </c>
      <c r="AS1" s="52" t="s">
        <v>169</v>
      </c>
      <c r="AT1" s="53"/>
      <c r="AU1" s="50" t="s">
        <v>170</v>
      </c>
      <c r="AV1" s="52" t="s">
        <v>171</v>
      </c>
      <c r="AW1" s="53"/>
      <c r="AX1" s="50" t="s">
        <v>172</v>
      </c>
      <c r="AY1" s="52" t="s">
        <v>173</v>
      </c>
      <c r="AZ1" s="53"/>
      <c r="BA1" s="50" t="s">
        <v>174</v>
      </c>
      <c r="BB1" s="52" t="s">
        <v>175</v>
      </c>
      <c r="BC1" s="53"/>
      <c r="BD1" s="50" t="s">
        <v>176</v>
      </c>
      <c r="BE1" s="52" t="s">
        <v>177</v>
      </c>
      <c r="BF1" s="53"/>
      <c r="BG1" s="50" t="s">
        <v>178</v>
      </c>
      <c r="BH1" s="52" t="s">
        <v>179</v>
      </c>
      <c r="BI1" s="53"/>
      <c r="BJ1" s="50" t="s">
        <v>180</v>
      </c>
      <c r="BK1" s="52" t="s">
        <v>181</v>
      </c>
      <c r="BL1" s="53"/>
      <c r="BM1" s="50" t="s">
        <v>182</v>
      </c>
      <c r="BN1" s="52" t="s">
        <v>183</v>
      </c>
      <c r="BO1" s="53"/>
      <c r="BP1" s="50" t="s">
        <v>184</v>
      </c>
      <c r="BQ1" s="52" t="s">
        <v>185</v>
      </c>
      <c r="BR1" s="53"/>
      <c r="BS1" s="50" t="s">
        <v>186</v>
      </c>
      <c r="BT1" s="52" t="s">
        <v>187</v>
      </c>
      <c r="BU1" s="53"/>
    </row>
    <row r="2" spans="1:73" x14ac:dyDescent="0.2">
      <c r="B2" s="52" t="s">
        <v>13</v>
      </c>
      <c r="C2" s="50" t="s">
        <v>20</v>
      </c>
      <c r="D2" s="53" t="s">
        <v>19</v>
      </c>
      <c r="E2" s="52" t="s">
        <v>13</v>
      </c>
      <c r="F2" s="50" t="s">
        <v>20</v>
      </c>
      <c r="G2" s="53" t="s">
        <v>19</v>
      </c>
      <c r="H2" s="52" t="s">
        <v>13</v>
      </c>
      <c r="I2" s="50" t="s">
        <v>20</v>
      </c>
      <c r="J2" s="53" t="s">
        <v>19</v>
      </c>
      <c r="K2" s="52" t="s">
        <v>13</v>
      </c>
      <c r="L2" s="50" t="s">
        <v>20</v>
      </c>
      <c r="M2" s="53" t="s">
        <v>19</v>
      </c>
      <c r="N2" s="52" t="s">
        <v>13</v>
      </c>
      <c r="O2" s="50" t="s">
        <v>20</v>
      </c>
      <c r="P2" s="53" t="s">
        <v>19</v>
      </c>
      <c r="Q2" s="52" t="s">
        <v>13</v>
      </c>
      <c r="R2" s="50" t="s">
        <v>20</v>
      </c>
      <c r="S2" s="53" t="s">
        <v>19</v>
      </c>
      <c r="T2" s="52" t="s">
        <v>13</v>
      </c>
      <c r="U2" s="50" t="s">
        <v>20</v>
      </c>
      <c r="V2" s="53" t="s">
        <v>19</v>
      </c>
      <c r="W2" s="52" t="s">
        <v>13</v>
      </c>
      <c r="X2" s="50" t="s">
        <v>20</v>
      </c>
      <c r="Y2" s="53" t="s">
        <v>19</v>
      </c>
      <c r="Z2" s="52" t="s">
        <v>13</v>
      </c>
      <c r="AA2" s="50" t="s">
        <v>20</v>
      </c>
      <c r="AB2" s="53" t="s">
        <v>19</v>
      </c>
      <c r="AC2" s="52" t="s">
        <v>13</v>
      </c>
      <c r="AD2" s="50" t="s">
        <v>20</v>
      </c>
      <c r="AE2" s="53" t="s">
        <v>19</v>
      </c>
      <c r="AF2" s="52" t="s">
        <v>13</v>
      </c>
      <c r="AG2" s="50" t="s">
        <v>20</v>
      </c>
      <c r="AH2" s="53" t="s">
        <v>19</v>
      </c>
      <c r="AI2" s="52" t="s">
        <v>13</v>
      </c>
      <c r="AJ2" s="50" t="s">
        <v>20</v>
      </c>
      <c r="AK2" s="53" t="s">
        <v>19</v>
      </c>
      <c r="AL2" s="52" t="s">
        <v>13</v>
      </c>
      <c r="AM2" s="50" t="s">
        <v>20</v>
      </c>
      <c r="AN2" s="53" t="s">
        <v>19</v>
      </c>
      <c r="AO2" s="52" t="s">
        <v>13</v>
      </c>
      <c r="AP2" s="50" t="s">
        <v>20</v>
      </c>
      <c r="AQ2" s="53" t="s">
        <v>19</v>
      </c>
      <c r="AR2" s="52" t="s">
        <v>13</v>
      </c>
      <c r="AS2" s="50" t="s">
        <v>20</v>
      </c>
      <c r="AT2" s="53" t="s">
        <v>19</v>
      </c>
      <c r="AU2" s="52" t="s">
        <v>13</v>
      </c>
      <c r="AV2" s="50" t="s">
        <v>20</v>
      </c>
      <c r="AW2" s="53" t="s">
        <v>19</v>
      </c>
      <c r="AX2" s="52" t="s">
        <v>13</v>
      </c>
      <c r="AY2" s="50" t="s">
        <v>20</v>
      </c>
      <c r="AZ2" s="53" t="s">
        <v>19</v>
      </c>
      <c r="BA2" s="52" t="s">
        <v>13</v>
      </c>
      <c r="BB2" s="50" t="s">
        <v>20</v>
      </c>
      <c r="BC2" s="53" t="s">
        <v>19</v>
      </c>
      <c r="BD2" s="52" t="s">
        <v>13</v>
      </c>
      <c r="BE2" s="50" t="s">
        <v>20</v>
      </c>
      <c r="BF2" s="53" t="s">
        <v>19</v>
      </c>
      <c r="BG2" s="52" t="s">
        <v>13</v>
      </c>
      <c r="BH2" s="50" t="s">
        <v>20</v>
      </c>
      <c r="BI2" s="53" t="s">
        <v>19</v>
      </c>
      <c r="BJ2" s="52" t="s">
        <v>13</v>
      </c>
      <c r="BK2" s="50" t="s">
        <v>20</v>
      </c>
      <c r="BL2" s="53" t="s">
        <v>19</v>
      </c>
      <c r="BM2" s="52" t="s">
        <v>13</v>
      </c>
      <c r="BN2" s="50" t="s">
        <v>20</v>
      </c>
      <c r="BO2" s="53" t="s">
        <v>19</v>
      </c>
      <c r="BP2" s="52" t="s">
        <v>13</v>
      </c>
      <c r="BQ2" s="50" t="s">
        <v>20</v>
      </c>
      <c r="BR2" s="53" t="s">
        <v>19</v>
      </c>
      <c r="BS2" s="52" t="s">
        <v>13</v>
      </c>
      <c r="BT2" s="50" t="s">
        <v>20</v>
      </c>
      <c r="BU2" s="53" t="s">
        <v>19</v>
      </c>
    </row>
    <row r="3" spans="1:73" x14ac:dyDescent="0.2">
      <c r="A3" s="54">
        <v>1</v>
      </c>
      <c r="B3" s="68">
        <v>-359.57619999999997</v>
      </c>
      <c r="C3" s="66">
        <v>0</v>
      </c>
      <c r="D3" s="69">
        <v>0</v>
      </c>
      <c r="E3" s="68">
        <v>-359.57619999999997</v>
      </c>
      <c r="F3" s="66">
        <v>0</v>
      </c>
      <c r="G3" s="69">
        <v>0</v>
      </c>
      <c r="H3" s="68">
        <v>-359.57619999999997</v>
      </c>
      <c r="I3" s="66">
        <v>0</v>
      </c>
      <c r="J3" s="69">
        <v>0</v>
      </c>
      <c r="K3" s="68">
        <v>-359.57619999999997</v>
      </c>
      <c r="L3" s="66">
        <v>0</v>
      </c>
      <c r="M3" s="69">
        <v>0</v>
      </c>
      <c r="N3" s="68">
        <v>-359.57619999999997</v>
      </c>
      <c r="O3" s="66">
        <v>0</v>
      </c>
      <c r="P3" s="69">
        <v>0</v>
      </c>
      <c r="Q3" s="68">
        <v>-359.57619999999997</v>
      </c>
      <c r="R3" s="66">
        <v>0</v>
      </c>
      <c r="S3" s="69">
        <v>0</v>
      </c>
      <c r="T3" s="68">
        <v>-359.57619999999997</v>
      </c>
      <c r="U3" s="66">
        <v>0</v>
      </c>
      <c r="V3" s="69">
        <v>0</v>
      </c>
      <c r="W3" s="68">
        <v>-359.57619999999997</v>
      </c>
      <c r="X3" s="66">
        <v>0</v>
      </c>
      <c r="Y3" s="69">
        <v>0</v>
      </c>
      <c r="Z3" s="68">
        <v>-359.57619999999997</v>
      </c>
      <c r="AA3" s="66">
        <v>0</v>
      </c>
      <c r="AB3" s="69">
        <v>0</v>
      </c>
      <c r="AC3" s="68">
        <v>-359.57619999999997</v>
      </c>
      <c r="AD3" s="66">
        <v>0</v>
      </c>
      <c r="AE3" s="69">
        <v>0</v>
      </c>
      <c r="AF3" s="68">
        <v>-359.57619999999997</v>
      </c>
      <c r="AG3" s="66">
        <v>0</v>
      </c>
      <c r="AH3" s="69">
        <v>0</v>
      </c>
      <c r="AI3" s="68">
        <v>-359.57619999999997</v>
      </c>
      <c r="AJ3" s="66">
        <v>0</v>
      </c>
      <c r="AK3" s="69">
        <v>0</v>
      </c>
      <c r="AL3" s="68">
        <v>-359.57619999999997</v>
      </c>
      <c r="AM3" s="66">
        <v>0</v>
      </c>
      <c r="AN3" s="69">
        <v>0</v>
      </c>
      <c r="AO3" s="68">
        <v>-359.57619999999997</v>
      </c>
      <c r="AP3" s="66">
        <v>0</v>
      </c>
      <c r="AQ3" s="69">
        <v>0</v>
      </c>
      <c r="AR3" s="68">
        <v>-359.57619999999997</v>
      </c>
      <c r="AS3" s="66">
        <v>0</v>
      </c>
      <c r="AT3" s="69">
        <v>0</v>
      </c>
      <c r="AU3" s="68">
        <v>-359.57619999999997</v>
      </c>
      <c r="AV3" s="66">
        <v>0</v>
      </c>
      <c r="AW3" s="69">
        <v>0</v>
      </c>
      <c r="AX3" s="68">
        <v>-359.57619999999997</v>
      </c>
      <c r="AY3" s="66">
        <v>0</v>
      </c>
      <c r="AZ3" s="69">
        <v>0</v>
      </c>
      <c r="BA3" s="68">
        <v>-359.57619999999997</v>
      </c>
      <c r="BB3" s="66">
        <v>0</v>
      </c>
      <c r="BC3" s="69">
        <v>0</v>
      </c>
      <c r="BD3" s="68">
        <v>-359.57619999999997</v>
      </c>
      <c r="BE3" s="66">
        <v>0</v>
      </c>
      <c r="BF3" s="69">
        <v>0</v>
      </c>
      <c r="BG3" s="68">
        <v>-359.57619999999997</v>
      </c>
      <c r="BH3" s="66">
        <v>0</v>
      </c>
      <c r="BI3" s="69">
        <v>0</v>
      </c>
      <c r="BJ3" s="68">
        <v>-359.57619999999997</v>
      </c>
      <c r="BK3" s="66">
        <v>0</v>
      </c>
      <c r="BL3" s="69">
        <v>0</v>
      </c>
      <c r="BM3" s="68">
        <v>-359.57619999999997</v>
      </c>
      <c r="BN3" s="66">
        <v>0</v>
      </c>
      <c r="BO3" s="69">
        <v>0</v>
      </c>
      <c r="BP3" s="68">
        <v>-359.57619999999997</v>
      </c>
      <c r="BQ3" s="66">
        <v>0</v>
      </c>
      <c r="BR3" s="69">
        <v>0</v>
      </c>
      <c r="BS3" s="68">
        <v>-359.57619999999997</v>
      </c>
      <c r="BT3" s="66">
        <v>0</v>
      </c>
      <c r="BU3" s="69">
        <v>0</v>
      </c>
    </row>
    <row r="4" spans="1:73" x14ac:dyDescent="0.2">
      <c r="A4" s="56">
        <v>2</v>
      </c>
      <c r="B4" s="68">
        <v>-359.57619999999997</v>
      </c>
      <c r="C4" s="66">
        <v>1570.1886999999999</v>
      </c>
      <c r="D4" s="69">
        <v>0</v>
      </c>
      <c r="E4" s="68">
        <v>-359.57619999999997</v>
      </c>
      <c r="F4" s="66">
        <v>866.15049999999997</v>
      </c>
      <c r="G4" s="69">
        <v>353.56959999999998</v>
      </c>
      <c r="H4" s="68">
        <v>-359.57619999999997</v>
      </c>
      <c r="I4" s="66">
        <v>678.04790000000003</v>
      </c>
      <c r="J4" s="69">
        <v>436.46800000000002</v>
      </c>
      <c r="K4" s="68">
        <v>-359.57619999999997</v>
      </c>
      <c r="L4" s="66">
        <v>548.3904</v>
      </c>
      <c r="M4" s="69">
        <v>548.3904</v>
      </c>
      <c r="N4" s="68">
        <v>-359.57619999999997</v>
      </c>
      <c r="O4" s="66">
        <v>436.46800000000002</v>
      </c>
      <c r="P4" s="69">
        <v>678.04790000000003</v>
      </c>
      <c r="Q4" s="68">
        <v>-359.57619999999997</v>
      </c>
      <c r="R4" s="66">
        <v>353.56959999999998</v>
      </c>
      <c r="S4" s="69">
        <v>866.15049999999997</v>
      </c>
      <c r="T4" s="68">
        <v>-359.57619999999997</v>
      </c>
      <c r="U4" s="66">
        <v>0</v>
      </c>
      <c r="V4" s="69">
        <v>1570.1886999999999</v>
      </c>
      <c r="W4" s="68">
        <v>-359.57619999999997</v>
      </c>
      <c r="X4" s="66">
        <v>-353.56959999999998</v>
      </c>
      <c r="Y4" s="69">
        <v>866.15049999999997</v>
      </c>
      <c r="Z4" s="68">
        <v>-359.57619999999997</v>
      </c>
      <c r="AA4" s="66">
        <v>-436.46800000000002</v>
      </c>
      <c r="AB4" s="69">
        <v>678.04790000000003</v>
      </c>
      <c r="AC4" s="68">
        <v>-359.57619999999997</v>
      </c>
      <c r="AD4" s="66">
        <v>-548.3904</v>
      </c>
      <c r="AE4" s="69">
        <v>548.3904</v>
      </c>
      <c r="AF4" s="68">
        <v>-359.57619999999997</v>
      </c>
      <c r="AG4" s="66">
        <v>-678.04790000000003</v>
      </c>
      <c r="AH4" s="69">
        <v>436.46800000000002</v>
      </c>
      <c r="AI4" s="68">
        <v>-359.57619999999997</v>
      </c>
      <c r="AJ4" s="66">
        <v>-866.15049999999997</v>
      </c>
      <c r="AK4" s="69">
        <v>353.56959999999998</v>
      </c>
      <c r="AL4" s="68">
        <v>-359.57619999999997</v>
      </c>
      <c r="AM4" s="66">
        <v>-1570.1890000000001</v>
      </c>
      <c r="AN4" s="69">
        <v>0</v>
      </c>
      <c r="AO4" s="68">
        <v>-359.57619999999997</v>
      </c>
      <c r="AP4" s="66">
        <v>-866.15049999999997</v>
      </c>
      <c r="AQ4" s="69">
        <v>-353.56959999999998</v>
      </c>
      <c r="AR4" s="68">
        <v>-359.57619999999997</v>
      </c>
      <c r="AS4" s="66">
        <v>-678.04790000000003</v>
      </c>
      <c r="AT4" s="69">
        <v>-436.46800000000002</v>
      </c>
      <c r="AU4" s="68">
        <v>-359.57619999999997</v>
      </c>
      <c r="AV4" s="66">
        <v>-548.3904</v>
      </c>
      <c r="AW4" s="69">
        <v>-548.3904</v>
      </c>
      <c r="AX4" s="68">
        <v>-359.57619999999997</v>
      </c>
      <c r="AY4" s="66">
        <v>-436.46800000000002</v>
      </c>
      <c r="AZ4" s="69">
        <v>-678.04790000000003</v>
      </c>
      <c r="BA4" s="68">
        <v>-359.57619999999997</v>
      </c>
      <c r="BB4" s="66">
        <v>-353.56959999999998</v>
      </c>
      <c r="BC4" s="69">
        <v>-866.15049999999997</v>
      </c>
      <c r="BD4" s="68">
        <v>-359.57619999999997</v>
      </c>
      <c r="BE4" s="66">
        <v>0</v>
      </c>
      <c r="BF4" s="69">
        <v>-1570.1890000000001</v>
      </c>
      <c r="BG4" s="68">
        <v>-359.57619999999997</v>
      </c>
      <c r="BH4" s="66">
        <v>353.56959999999998</v>
      </c>
      <c r="BI4" s="69">
        <v>-866.15049999999997</v>
      </c>
      <c r="BJ4" s="68">
        <v>-359.57619999999997</v>
      </c>
      <c r="BK4" s="66">
        <v>436.46800000000002</v>
      </c>
      <c r="BL4" s="69">
        <v>-678.04790000000003</v>
      </c>
      <c r="BM4" s="68">
        <v>-359.57619999999997</v>
      </c>
      <c r="BN4" s="66">
        <v>548.3904</v>
      </c>
      <c r="BO4" s="69">
        <v>-548.3904</v>
      </c>
      <c r="BP4" s="68">
        <v>-359.57619999999997</v>
      </c>
      <c r="BQ4" s="66">
        <v>678.04790000000003</v>
      </c>
      <c r="BR4" s="69">
        <v>-436.46800000000002</v>
      </c>
      <c r="BS4" s="68">
        <v>-359.57619999999997</v>
      </c>
      <c r="BT4" s="66">
        <v>866.15049999999997</v>
      </c>
      <c r="BU4" s="69">
        <v>-353.56959999999998</v>
      </c>
    </row>
    <row r="5" spans="1:73" x14ac:dyDescent="0.2">
      <c r="A5" s="56">
        <v>3</v>
      </c>
      <c r="B5" s="68">
        <v>-329.79090000000002</v>
      </c>
      <c r="C5" s="66">
        <v>2417.5691000000002</v>
      </c>
      <c r="D5" s="69">
        <v>0</v>
      </c>
      <c r="E5" s="68">
        <v>-359.57619999999997</v>
      </c>
      <c r="F5" s="66">
        <v>1780.2867000000001</v>
      </c>
      <c r="G5" s="69">
        <v>586.80949999999996</v>
      </c>
      <c r="H5" s="68">
        <v>-359.57619999999997</v>
      </c>
      <c r="I5" s="66">
        <v>1312.7938999999999</v>
      </c>
      <c r="J5" s="69">
        <v>887.93970000000002</v>
      </c>
      <c r="K5" s="68">
        <v>-359.57619999999997</v>
      </c>
      <c r="L5" s="66">
        <v>1077.7973999999999</v>
      </c>
      <c r="M5" s="69">
        <v>1077.7973999999999</v>
      </c>
      <c r="N5" s="68">
        <v>-359.57619999999997</v>
      </c>
      <c r="O5" s="66">
        <v>887.93970000000002</v>
      </c>
      <c r="P5" s="69">
        <v>1312.7938999999999</v>
      </c>
      <c r="Q5" s="68">
        <v>-359.57619999999997</v>
      </c>
      <c r="R5" s="66">
        <v>586.80949999999996</v>
      </c>
      <c r="S5" s="69">
        <v>1780.2867000000001</v>
      </c>
      <c r="T5" s="68">
        <v>-329.79090000000002</v>
      </c>
      <c r="U5" s="66">
        <v>0</v>
      </c>
      <c r="V5" s="69">
        <v>2417.5691000000002</v>
      </c>
      <c r="W5" s="68">
        <v>-359.57619999999997</v>
      </c>
      <c r="X5" s="66">
        <v>-586.80949999999996</v>
      </c>
      <c r="Y5" s="69">
        <v>1780.2867000000001</v>
      </c>
      <c r="Z5" s="68">
        <v>-359.57619999999997</v>
      </c>
      <c r="AA5" s="66">
        <v>-887.93970000000002</v>
      </c>
      <c r="AB5" s="69">
        <v>1312.7938999999999</v>
      </c>
      <c r="AC5" s="68">
        <v>-359.57619999999997</v>
      </c>
      <c r="AD5" s="66">
        <v>-1077.797</v>
      </c>
      <c r="AE5" s="69">
        <v>1077.7973999999999</v>
      </c>
      <c r="AF5" s="68">
        <v>-359.57619999999997</v>
      </c>
      <c r="AG5" s="66">
        <v>-1312.7940000000001</v>
      </c>
      <c r="AH5" s="69">
        <v>887.93970000000002</v>
      </c>
      <c r="AI5" s="68">
        <v>-359.57619999999997</v>
      </c>
      <c r="AJ5" s="66">
        <v>-1780.287</v>
      </c>
      <c r="AK5" s="69">
        <v>586.80949999999996</v>
      </c>
      <c r="AL5" s="68">
        <v>-329.79090000000002</v>
      </c>
      <c r="AM5" s="66">
        <v>-2417.569</v>
      </c>
      <c r="AN5" s="69">
        <v>0</v>
      </c>
      <c r="AO5" s="68">
        <v>-359.57619999999997</v>
      </c>
      <c r="AP5" s="66">
        <v>-1780.287</v>
      </c>
      <c r="AQ5" s="69">
        <v>-586.80949999999996</v>
      </c>
      <c r="AR5" s="68">
        <v>-359.57619999999997</v>
      </c>
      <c r="AS5" s="66">
        <v>-1312.7940000000001</v>
      </c>
      <c r="AT5" s="69">
        <v>-887.93970000000002</v>
      </c>
      <c r="AU5" s="68">
        <v>-359.57619999999997</v>
      </c>
      <c r="AV5" s="66">
        <v>-1077.797</v>
      </c>
      <c r="AW5" s="69">
        <v>-1077.797</v>
      </c>
      <c r="AX5" s="68">
        <v>-359.57619999999997</v>
      </c>
      <c r="AY5" s="66">
        <v>-887.93970000000002</v>
      </c>
      <c r="AZ5" s="69">
        <v>-1312.7940000000001</v>
      </c>
      <c r="BA5" s="68">
        <v>-359.57619999999997</v>
      </c>
      <c r="BB5" s="66">
        <v>-586.80949999999996</v>
      </c>
      <c r="BC5" s="69">
        <v>-1780.287</v>
      </c>
      <c r="BD5" s="68">
        <v>-329.79090000000002</v>
      </c>
      <c r="BE5" s="66">
        <v>0</v>
      </c>
      <c r="BF5" s="69">
        <v>-2417.569</v>
      </c>
      <c r="BG5" s="68">
        <v>-359.57619999999997</v>
      </c>
      <c r="BH5" s="66">
        <v>586.80949999999996</v>
      </c>
      <c r="BI5" s="69">
        <v>-1780.287</v>
      </c>
      <c r="BJ5" s="68">
        <v>-359.57619999999997</v>
      </c>
      <c r="BK5" s="66">
        <v>887.93970000000002</v>
      </c>
      <c r="BL5" s="69">
        <v>-1312.7940000000001</v>
      </c>
      <c r="BM5" s="68">
        <v>-359.57619999999997</v>
      </c>
      <c r="BN5" s="66">
        <v>1077.7973999999999</v>
      </c>
      <c r="BO5" s="69">
        <v>-1077.797</v>
      </c>
      <c r="BP5" s="68">
        <v>-359.57619999999997</v>
      </c>
      <c r="BQ5" s="66">
        <v>1312.7938999999999</v>
      </c>
      <c r="BR5" s="69">
        <v>-887.93970000000002</v>
      </c>
      <c r="BS5" s="68">
        <v>-359.57619999999997</v>
      </c>
      <c r="BT5" s="66">
        <v>1780.2867000000001</v>
      </c>
      <c r="BU5" s="69">
        <v>-586.80949999999996</v>
      </c>
    </row>
    <row r="6" spans="1:73" x14ac:dyDescent="0.2">
      <c r="A6" s="56">
        <v>4</v>
      </c>
      <c r="B6" s="68">
        <v>-279.49349999999998</v>
      </c>
      <c r="C6" s="66">
        <v>3083.6732000000002</v>
      </c>
      <c r="D6" s="69">
        <v>0</v>
      </c>
      <c r="E6" s="68">
        <v>-301.50599999999997</v>
      </c>
      <c r="F6" s="66">
        <v>2702.5565999999999</v>
      </c>
      <c r="G6" s="69">
        <v>618.45050000000003</v>
      </c>
      <c r="H6" s="68">
        <v>-320.20080000000002</v>
      </c>
      <c r="I6" s="66">
        <v>2117.7609000000002</v>
      </c>
      <c r="J6" s="69">
        <v>1264.7669000000001</v>
      </c>
      <c r="K6" s="68">
        <v>-325.81150000000002</v>
      </c>
      <c r="L6" s="66">
        <v>1681.8331000000001</v>
      </c>
      <c r="M6" s="69">
        <v>1681.8331000000001</v>
      </c>
      <c r="N6" s="68">
        <v>-320.20080000000002</v>
      </c>
      <c r="O6" s="66">
        <v>1264.7669000000001</v>
      </c>
      <c r="P6" s="69">
        <v>2117.7609000000002</v>
      </c>
      <c r="Q6" s="68">
        <v>-301.50599999999997</v>
      </c>
      <c r="R6" s="66">
        <v>618.45050000000003</v>
      </c>
      <c r="S6" s="69">
        <v>2702.5565999999999</v>
      </c>
      <c r="T6" s="68">
        <v>-279.49349999999998</v>
      </c>
      <c r="U6" s="66">
        <v>0</v>
      </c>
      <c r="V6" s="69">
        <v>3083.6732000000002</v>
      </c>
      <c r="W6" s="68">
        <v>-301.50599999999997</v>
      </c>
      <c r="X6" s="66">
        <v>-618.45050000000003</v>
      </c>
      <c r="Y6" s="69">
        <v>2702.5565999999999</v>
      </c>
      <c r="Z6" s="68">
        <v>-320.20080000000002</v>
      </c>
      <c r="AA6" s="66">
        <v>-1264.7670000000001</v>
      </c>
      <c r="AB6" s="69">
        <v>2117.7609000000002</v>
      </c>
      <c r="AC6" s="68">
        <v>-325.81150000000002</v>
      </c>
      <c r="AD6" s="66">
        <v>-1681.8330000000001</v>
      </c>
      <c r="AE6" s="69">
        <v>1681.8331000000001</v>
      </c>
      <c r="AF6" s="68">
        <v>-320.20080000000002</v>
      </c>
      <c r="AG6" s="66">
        <v>-2117.761</v>
      </c>
      <c r="AH6" s="69">
        <v>1264.7669000000001</v>
      </c>
      <c r="AI6" s="68">
        <v>-301.50599999999997</v>
      </c>
      <c r="AJ6" s="66">
        <v>-2702.5569999999998</v>
      </c>
      <c r="AK6" s="69">
        <v>618.45050000000003</v>
      </c>
      <c r="AL6" s="68">
        <v>-279.49349999999998</v>
      </c>
      <c r="AM6" s="66">
        <v>-3083.6729999999998</v>
      </c>
      <c r="AN6" s="69">
        <v>0</v>
      </c>
      <c r="AO6" s="68">
        <v>-301.50599999999997</v>
      </c>
      <c r="AP6" s="66">
        <v>-2702.5569999999998</v>
      </c>
      <c r="AQ6" s="69">
        <v>-618.45050000000003</v>
      </c>
      <c r="AR6" s="68">
        <v>-320.20080000000002</v>
      </c>
      <c r="AS6" s="66">
        <v>-2117.761</v>
      </c>
      <c r="AT6" s="69">
        <v>-1264.7670000000001</v>
      </c>
      <c r="AU6" s="68">
        <v>-325.81150000000002</v>
      </c>
      <c r="AV6" s="66">
        <v>-1681.8330000000001</v>
      </c>
      <c r="AW6" s="69">
        <v>-1681.8330000000001</v>
      </c>
      <c r="AX6" s="68">
        <v>-320.20080000000002</v>
      </c>
      <c r="AY6" s="66">
        <v>-1264.7670000000001</v>
      </c>
      <c r="AZ6" s="69">
        <v>-2117.761</v>
      </c>
      <c r="BA6" s="68">
        <v>-301.50599999999997</v>
      </c>
      <c r="BB6" s="66">
        <v>-618.45050000000003</v>
      </c>
      <c r="BC6" s="69">
        <v>-2702.5569999999998</v>
      </c>
      <c r="BD6" s="68">
        <v>-279.49349999999998</v>
      </c>
      <c r="BE6" s="66">
        <v>0</v>
      </c>
      <c r="BF6" s="69">
        <v>-3083.6729999999998</v>
      </c>
      <c r="BG6" s="68">
        <v>-301.50599999999997</v>
      </c>
      <c r="BH6" s="66">
        <v>618.45050000000003</v>
      </c>
      <c r="BI6" s="69">
        <v>-2702.5569999999998</v>
      </c>
      <c r="BJ6" s="68">
        <v>-320.20080000000002</v>
      </c>
      <c r="BK6" s="66">
        <v>1264.7669000000001</v>
      </c>
      <c r="BL6" s="69">
        <v>-2117.761</v>
      </c>
      <c r="BM6" s="68">
        <v>-325.81150000000002</v>
      </c>
      <c r="BN6" s="66">
        <v>1681.8331000000001</v>
      </c>
      <c r="BO6" s="69">
        <v>-1681.8330000000001</v>
      </c>
      <c r="BP6" s="68">
        <v>-320.20080000000002</v>
      </c>
      <c r="BQ6" s="66">
        <v>2117.7609000000002</v>
      </c>
      <c r="BR6" s="69">
        <v>-1264.7670000000001</v>
      </c>
      <c r="BS6" s="68">
        <v>-301.50599999999997</v>
      </c>
      <c r="BT6" s="66">
        <v>2702.5565999999999</v>
      </c>
      <c r="BU6" s="69">
        <v>-618.45050000000003</v>
      </c>
    </row>
    <row r="7" spans="1:73" x14ac:dyDescent="0.2">
      <c r="A7" s="56">
        <v>5</v>
      </c>
      <c r="B7" s="68">
        <v>-225.23339999999999</v>
      </c>
      <c r="C7" s="66">
        <v>3589.1084000000001</v>
      </c>
      <c r="D7" s="69">
        <v>0</v>
      </c>
      <c r="E7" s="68">
        <v>-236.57230000000001</v>
      </c>
      <c r="F7" s="66">
        <v>3323.0445</v>
      </c>
      <c r="G7" s="69">
        <v>672.70799999999997</v>
      </c>
      <c r="H7" s="68">
        <v>-244.63579999999999</v>
      </c>
      <c r="I7" s="66">
        <v>2868.7662999999998</v>
      </c>
      <c r="J7" s="69">
        <v>1401.2076999999999</v>
      </c>
      <c r="K7" s="68">
        <v>-251.7363</v>
      </c>
      <c r="L7" s="66">
        <v>2184.4747000000002</v>
      </c>
      <c r="M7" s="69">
        <v>2184.4747000000002</v>
      </c>
      <c r="N7" s="68">
        <v>-244.63579999999999</v>
      </c>
      <c r="O7" s="66">
        <v>1401.2076999999999</v>
      </c>
      <c r="P7" s="69">
        <v>2868.7662999999998</v>
      </c>
      <c r="Q7" s="68">
        <v>-236.57230000000001</v>
      </c>
      <c r="R7" s="66">
        <v>672.70799999999997</v>
      </c>
      <c r="S7" s="69">
        <v>3323.0445</v>
      </c>
      <c r="T7" s="68">
        <v>-225.23339999999999</v>
      </c>
      <c r="U7" s="66">
        <v>0</v>
      </c>
      <c r="V7" s="69">
        <v>3589.1084000000001</v>
      </c>
      <c r="W7" s="68">
        <v>-236.57230000000001</v>
      </c>
      <c r="X7" s="66">
        <v>-672.70799999999997</v>
      </c>
      <c r="Y7" s="69">
        <v>3323.0445</v>
      </c>
      <c r="Z7" s="68">
        <v>-244.63579999999999</v>
      </c>
      <c r="AA7" s="66">
        <v>-1401.2080000000001</v>
      </c>
      <c r="AB7" s="69">
        <v>2868.7662999999998</v>
      </c>
      <c r="AC7" s="68">
        <v>-251.7363</v>
      </c>
      <c r="AD7" s="66">
        <v>-2184.4749999999999</v>
      </c>
      <c r="AE7" s="69">
        <v>2184.4747000000002</v>
      </c>
      <c r="AF7" s="68">
        <v>-244.63579999999999</v>
      </c>
      <c r="AG7" s="66">
        <v>-2868.7660000000001</v>
      </c>
      <c r="AH7" s="69">
        <v>1401.2076999999999</v>
      </c>
      <c r="AI7" s="68">
        <v>-236.57230000000001</v>
      </c>
      <c r="AJ7" s="66">
        <v>-3323.04</v>
      </c>
      <c r="AK7" s="69">
        <v>672.70799999999997</v>
      </c>
      <c r="AL7" s="68">
        <v>-225.23339999999999</v>
      </c>
      <c r="AM7" s="66">
        <v>-3589.11</v>
      </c>
      <c r="AN7" s="69">
        <v>0</v>
      </c>
      <c r="AO7" s="68">
        <v>-236.57230000000001</v>
      </c>
      <c r="AP7" s="66">
        <v>-3323.04</v>
      </c>
      <c r="AQ7" s="69">
        <v>-672.70799999999997</v>
      </c>
      <c r="AR7" s="68">
        <v>-244.63579999999999</v>
      </c>
      <c r="AS7" s="66">
        <v>-2868.7660000000001</v>
      </c>
      <c r="AT7" s="69">
        <v>-1401.2080000000001</v>
      </c>
      <c r="AU7" s="68">
        <v>-251.7363</v>
      </c>
      <c r="AV7" s="66">
        <v>-2184.4749999999999</v>
      </c>
      <c r="AW7" s="69">
        <v>-2184.4749999999999</v>
      </c>
      <c r="AX7" s="68">
        <v>-244.63579999999999</v>
      </c>
      <c r="AY7" s="66">
        <v>-1401.2080000000001</v>
      </c>
      <c r="AZ7" s="69">
        <v>-2868.7660000000001</v>
      </c>
      <c r="BA7" s="68">
        <v>-236.57230000000001</v>
      </c>
      <c r="BB7" s="66">
        <v>-672.70799999999997</v>
      </c>
      <c r="BC7" s="69">
        <v>-3323.04</v>
      </c>
      <c r="BD7" s="68">
        <v>-225.23339999999999</v>
      </c>
      <c r="BE7" s="66">
        <v>0</v>
      </c>
      <c r="BF7" s="69">
        <v>-3589.11</v>
      </c>
      <c r="BG7" s="68">
        <v>-236.57230000000001</v>
      </c>
      <c r="BH7" s="66">
        <v>672.70799999999997</v>
      </c>
      <c r="BI7" s="69">
        <v>-3323.04</v>
      </c>
      <c r="BJ7" s="68">
        <v>-244.63579999999999</v>
      </c>
      <c r="BK7" s="66">
        <v>1401.2076999999999</v>
      </c>
      <c r="BL7" s="69">
        <v>-2868.7660000000001</v>
      </c>
      <c r="BM7" s="68">
        <v>-251.7363</v>
      </c>
      <c r="BN7" s="66">
        <v>2184.4747000000002</v>
      </c>
      <c r="BO7" s="69">
        <v>-2184.4749999999999</v>
      </c>
      <c r="BP7" s="68">
        <v>-244.63579999999999</v>
      </c>
      <c r="BQ7" s="66">
        <v>2868.7662999999998</v>
      </c>
      <c r="BR7" s="69">
        <v>-1401.2080000000001</v>
      </c>
      <c r="BS7" s="68">
        <v>-236.57230000000001</v>
      </c>
      <c r="BT7" s="66">
        <v>3323.0445</v>
      </c>
      <c r="BU7" s="69">
        <v>-672.70799999999997</v>
      </c>
    </row>
    <row r="8" spans="1:73" x14ac:dyDescent="0.2">
      <c r="A8" s="56">
        <v>6</v>
      </c>
      <c r="B8" s="68">
        <v>-162.22450000000001</v>
      </c>
      <c r="C8" s="66">
        <v>3995.5452</v>
      </c>
      <c r="D8" s="69">
        <v>0</v>
      </c>
      <c r="E8" s="68">
        <v>-163.6002</v>
      </c>
      <c r="F8" s="66">
        <v>3661.1237999999998</v>
      </c>
      <c r="G8" s="69">
        <v>759.11019999999996</v>
      </c>
      <c r="H8" s="68">
        <v>-159.16220000000001</v>
      </c>
      <c r="I8" s="66">
        <v>3170.7085000000002</v>
      </c>
      <c r="J8" s="69">
        <v>1530.674</v>
      </c>
      <c r="K8" s="68">
        <v>-154.54740000000001</v>
      </c>
      <c r="L8" s="66">
        <v>2411.6347000000001</v>
      </c>
      <c r="M8" s="69">
        <v>2411.6347000000001</v>
      </c>
      <c r="N8" s="68">
        <v>-159.16220000000001</v>
      </c>
      <c r="O8" s="66">
        <v>1530.674</v>
      </c>
      <c r="P8" s="69">
        <v>3170.7085000000002</v>
      </c>
      <c r="Q8" s="68">
        <v>-163.6002</v>
      </c>
      <c r="R8" s="66">
        <v>759.11019999999996</v>
      </c>
      <c r="S8" s="69">
        <v>3661.1237999999998</v>
      </c>
      <c r="T8" s="68">
        <v>-162.22450000000001</v>
      </c>
      <c r="U8" s="66">
        <v>0</v>
      </c>
      <c r="V8" s="69">
        <v>3995.5452</v>
      </c>
      <c r="W8" s="68">
        <v>-163.6002</v>
      </c>
      <c r="X8" s="66">
        <v>-759.11019999999996</v>
      </c>
      <c r="Y8" s="69">
        <v>3661.1237999999998</v>
      </c>
      <c r="Z8" s="68">
        <v>-159.16220000000001</v>
      </c>
      <c r="AA8" s="66">
        <v>-1530.674</v>
      </c>
      <c r="AB8" s="69">
        <v>3170.7085000000002</v>
      </c>
      <c r="AC8" s="68">
        <v>-154.54740000000001</v>
      </c>
      <c r="AD8" s="66">
        <v>-2411.6350000000002</v>
      </c>
      <c r="AE8" s="69">
        <v>2411.6347000000001</v>
      </c>
      <c r="AF8" s="68">
        <v>-159.16220000000001</v>
      </c>
      <c r="AG8" s="66">
        <v>-3170.71</v>
      </c>
      <c r="AH8" s="69">
        <v>1530.674</v>
      </c>
      <c r="AI8" s="68">
        <v>-163.6002</v>
      </c>
      <c r="AJ8" s="66">
        <v>-3661.12</v>
      </c>
      <c r="AK8" s="69">
        <v>759.11019999999996</v>
      </c>
      <c r="AL8" s="68">
        <v>-162.22450000000001</v>
      </c>
      <c r="AM8" s="66">
        <v>-3995.55</v>
      </c>
      <c r="AN8" s="69">
        <v>0</v>
      </c>
      <c r="AO8" s="68">
        <v>-163.6002</v>
      </c>
      <c r="AP8" s="66">
        <v>-3661.12</v>
      </c>
      <c r="AQ8" s="69">
        <v>-759.11019999999996</v>
      </c>
      <c r="AR8" s="68">
        <v>-159.16220000000001</v>
      </c>
      <c r="AS8" s="66">
        <v>-3170.71</v>
      </c>
      <c r="AT8" s="69">
        <v>-1530.674</v>
      </c>
      <c r="AU8" s="68">
        <v>-154.54740000000001</v>
      </c>
      <c r="AV8" s="66">
        <v>-2411.6350000000002</v>
      </c>
      <c r="AW8" s="69">
        <v>-2411.6350000000002</v>
      </c>
      <c r="AX8" s="68">
        <v>-159.16220000000001</v>
      </c>
      <c r="AY8" s="66">
        <v>-1530.674</v>
      </c>
      <c r="AZ8" s="69">
        <v>-3170.71</v>
      </c>
      <c r="BA8" s="68">
        <v>-163.6002</v>
      </c>
      <c r="BB8" s="66">
        <v>-759.11019999999996</v>
      </c>
      <c r="BC8" s="69">
        <v>-3661.12</v>
      </c>
      <c r="BD8" s="68">
        <v>-162.22450000000001</v>
      </c>
      <c r="BE8" s="66">
        <v>0</v>
      </c>
      <c r="BF8" s="69">
        <v>-3995.55</v>
      </c>
      <c r="BG8" s="68">
        <v>-163.6002</v>
      </c>
      <c r="BH8" s="66">
        <v>759.11019999999996</v>
      </c>
      <c r="BI8" s="69">
        <v>-3661.12</v>
      </c>
      <c r="BJ8" s="68">
        <v>-159.16220000000001</v>
      </c>
      <c r="BK8" s="66">
        <v>1530.674</v>
      </c>
      <c r="BL8" s="69">
        <v>-3170.71</v>
      </c>
      <c r="BM8" s="68">
        <v>-154.54740000000001</v>
      </c>
      <c r="BN8" s="66">
        <v>2411.6347000000001</v>
      </c>
      <c r="BO8" s="69">
        <v>-2411.6350000000002</v>
      </c>
      <c r="BP8" s="68">
        <v>-159.16220000000001</v>
      </c>
      <c r="BQ8" s="66">
        <v>3170.7085000000002</v>
      </c>
      <c r="BR8" s="69">
        <v>-1530.674</v>
      </c>
      <c r="BS8" s="68">
        <v>-163.6002</v>
      </c>
      <c r="BT8" s="66">
        <v>3661.1237999999998</v>
      </c>
      <c r="BU8" s="69">
        <v>-759.11019999999996</v>
      </c>
    </row>
    <row r="9" spans="1:73" x14ac:dyDescent="0.2">
      <c r="A9" s="56">
        <v>7</v>
      </c>
      <c r="B9" s="68">
        <v>-138.09100000000001</v>
      </c>
      <c r="C9" s="66">
        <v>4503.6205</v>
      </c>
      <c r="D9" s="69">
        <v>0</v>
      </c>
      <c r="E9" s="68">
        <v>-116.6915</v>
      </c>
      <c r="F9" s="66">
        <v>4126.6731</v>
      </c>
      <c r="G9" s="69">
        <v>867.64909999999998</v>
      </c>
      <c r="H9" s="68">
        <v>-96.552700000000002</v>
      </c>
      <c r="I9" s="66">
        <v>3395.9290000000001</v>
      </c>
      <c r="J9" s="69">
        <v>1824.2194</v>
      </c>
      <c r="K9" s="68">
        <v>-87.627499999999998</v>
      </c>
      <c r="L9" s="66">
        <v>2610.4373000000001</v>
      </c>
      <c r="M9" s="69">
        <v>2610.4373000000001</v>
      </c>
      <c r="N9" s="68">
        <v>-96.552700000000002</v>
      </c>
      <c r="O9" s="66">
        <v>1824.2194</v>
      </c>
      <c r="P9" s="69">
        <v>3395.9290000000001</v>
      </c>
      <c r="Q9" s="68">
        <v>-116.6915</v>
      </c>
      <c r="R9" s="66">
        <v>867.64909999999998</v>
      </c>
      <c r="S9" s="69">
        <v>4126.6731</v>
      </c>
      <c r="T9" s="68">
        <v>-138.09100000000001</v>
      </c>
      <c r="U9" s="66">
        <v>0</v>
      </c>
      <c r="V9" s="69">
        <v>4503.6205</v>
      </c>
      <c r="W9" s="68">
        <v>-116.6915</v>
      </c>
      <c r="X9" s="66">
        <v>-867.64909999999998</v>
      </c>
      <c r="Y9" s="69">
        <v>4126.6731</v>
      </c>
      <c r="Z9" s="68">
        <v>-96.552700000000002</v>
      </c>
      <c r="AA9" s="66">
        <v>-1824.2190000000001</v>
      </c>
      <c r="AB9" s="69">
        <v>3395.9290000000001</v>
      </c>
      <c r="AC9" s="68">
        <v>-87.627499999999998</v>
      </c>
      <c r="AD9" s="66">
        <v>-2610.4369999999999</v>
      </c>
      <c r="AE9" s="69">
        <v>2610.4373000000001</v>
      </c>
      <c r="AF9" s="68">
        <v>-96.552700000000002</v>
      </c>
      <c r="AG9" s="66">
        <v>-3395.93</v>
      </c>
      <c r="AH9" s="69">
        <v>1824.2194</v>
      </c>
      <c r="AI9" s="68">
        <v>-116.6915</v>
      </c>
      <c r="AJ9" s="66">
        <v>-4126.67</v>
      </c>
      <c r="AK9" s="69">
        <v>867.64909999999998</v>
      </c>
      <c r="AL9" s="68">
        <v>-138.09100000000001</v>
      </c>
      <c r="AM9" s="66">
        <v>-4503.62</v>
      </c>
      <c r="AN9" s="69">
        <v>0</v>
      </c>
      <c r="AO9" s="68">
        <v>-116.6915</v>
      </c>
      <c r="AP9" s="66">
        <v>-4126.67</v>
      </c>
      <c r="AQ9" s="69">
        <v>-867.64909999999998</v>
      </c>
      <c r="AR9" s="68">
        <v>-96.552700000000002</v>
      </c>
      <c r="AS9" s="66">
        <v>-3395.93</v>
      </c>
      <c r="AT9" s="69">
        <v>-1824.2190000000001</v>
      </c>
      <c r="AU9" s="68">
        <v>-87.627499999999998</v>
      </c>
      <c r="AV9" s="66">
        <v>-2610.4369999999999</v>
      </c>
      <c r="AW9" s="69">
        <v>-2610.4369999999999</v>
      </c>
      <c r="AX9" s="68">
        <v>-96.552700000000002</v>
      </c>
      <c r="AY9" s="66">
        <v>-1824.2190000000001</v>
      </c>
      <c r="AZ9" s="69">
        <v>-3395.93</v>
      </c>
      <c r="BA9" s="68">
        <v>-116.6915</v>
      </c>
      <c r="BB9" s="66">
        <v>-867.64909999999998</v>
      </c>
      <c r="BC9" s="69">
        <v>-4126.67</v>
      </c>
      <c r="BD9" s="68">
        <v>-138.09100000000001</v>
      </c>
      <c r="BE9" s="66">
        <v>0</v>
      </c>
      <c r="BF9" s="69">
        <v>-4503.62</v>
      </c>
      <c r="BG9" s="68">
        <v>-116.6915</v>
      </c>
      <c r="BH9" s="66">
        <v>867.64909999999998</v>
      </c>
      <c r="BI9" s="69">
        <v>-4126.67</v>
      </c>
      <c r="BJ9" s="68">
        <v>-96.552700000000002</v>
      </c>
      <c r="BK9" s="66">
        <v>1824.2194</v>
      </c>
      <c r="BL9" s="69">
        <v>-3395.93</v>
      </c>
      <c r="BM9" s="68">
        <v>-87.627499999999998</v>
      </c>
      <c r="BN9" s="66">
        <v>2610.4373000000001</v>
      </c>
      <c r="BO9" s="69">
        <v>-2610.4369999999999</v>
      </c>
      <c r="BP9" s="68">
        <v>-96.552700000000002</v>
      </c>
      <c r="BQ9" s="66">
        <v>3395.9290000000001</v>
      </c>
      <c r="BR9" s="69">
        <v>-1824.2190000000001</v>
      </c>
      <c r="BS9" s="68">
        <v>-116.6915</v>
      </c>
      <c r="BT9" s="66">
        <v>4126.6731</v>
      </c>
      <c r="BU9" s="69">
        <v>-867.64909999999998</v>
      </c>
    </row>
    <row r="10" spans="1:73" x14ac:dyDescent="0.2">
      <c r="A10" s="56">
        <v>8</v>
      </c>
      <c r="B10" s="68">
        <v>-103.5279</v>
      </c>
      <c r="C10" s="66">
        <v>4900.6129000000001</v>
      </c>
      <c r="D10" s="69">
        <v>0</v>
      </c>
      <c r="E10" s="68">
        <v>-55.625100000000003</v>
      </c>
      <c r="F10" s="66">
        <v>3997.9796999999999</v>
      </c>
      <c r="G10" s="69">
        <v>1052.5522000000001</v>
      </c>
      <c r="H10" s="68">
        <v>-20.6569</v>
      </c>
      <c r="I10" s="66">
        <v>3043.5007999999998</v>
      </c>
      <c r="J10" s="69">
        <v>1917.1276</v>
      </c>
      <c r="K10" s="68">
        <v>-11.5466</v>
      </c>
      <c r="L10" s="66">
        <v>2443.0371</v>
      </c>
      <c r="M10" s="69">
        <v>2443.0371</v>
      </c>
      <c r="N10" s="68">
        <v>-20.6569</v>
      </c>
      <c r="O10" s="66">
        <v>1917.1276</v>
      </c>
      <c r="P10" s="69">
        <v>3043.5007999999998</v>
      </c>
      <c r="Q10" s="68">
        <v>-55.625100000000003</v>
      </c>
      <c r="R10" s="66">
        <v>1052.5522000000001</v>
      </c>
      <c r="S10" s="69">
        <v>3997.9796999999999</v>
      </c>
      <c r="T10" s="68">
        <v>-103.5279</v>
      </c>
      <c r="U10" s="66">
        <v>0</v>
      </c>
      <c r="V10" s="69">
        <v>4900.6129000000001</v>
      </c>
      <c r="W10" s="68">
        <v>-55.625100000000003</v>
      </c>
      <c r="X10" s="66">
        <v>-1052.5519999999999</v>
      </c>
      <c r="Y10" s="69">
        <v>3997.9796999999999</v>
      </c>
      <c r="Z10" s="68">
        <v>-20.6569</v>
      </c>
      <c r="AA10" s="66">
        <v>-1917.1279999999999</v>
      </c>
      <c r="AB10" s="69">
        <v>3043.5007999999998</v>
      </c>
      <c r="AC10" s="68">
        <v>-11.5466</v>
      </c>
      <c r="AD10" s="66">
        <v>-2443.0369999999998</v>
      </c>
      <c r="AE10" s="69">
        <v>2443.0371</v>
      </c>
      <c r="AF10" s="68">
        <v>-20.6569</v>
      </c>
      <c r="AG10" s="66">
        <v>-3043.5010000000002</v>
      </c>
      <c r="AH10" s="69">
        <v>1917.1276</v>
      </c>
      <c r="AI10" s="68">
        <v>-55.625100000000003</v>
      </c>
      <c r="AJ10" s="66">
        <v>-3997.98</v>
      </c>
      <c r="AK10" s="69">
        <v>1052.5522000000001</v>
      </c>
      <c r="AL10" s="68">
        <v>-103.5279</v>
      </c>
      <c r="AM10" s="66">
        <v>-4900.6099999999997</v>
      </c>
      <c r="AN10" s="69">
        <v>0</v>
      </c>
      <c r="AO10" s="68">
        <v>-55.625100000000003</v>
      </c>
      <c r="AP10" s="66">
        <v>-3997.98</v>
      </c>
      <c r="AQ10" s="69">
        <v>-1052.5519999999999</v>
      </c>
      <c r="AR10" s="68">
        <v>-20.6569</v>
      </c>
      <c r="AS10" s="66">
        <v>-3043.5010000000002</v>
      </c>
      <c r="AT10" s="69">
        <v>-1917.1279999999999</v>
      </c>
      <c r="AU10" s="68">
        <v>-11.5466</v>
      </c>
      <c r="AV10" s="66">
        <v>-2443.0369999999998</v>
      </c>
      <c r="AW10" s="69">
        <v>-2443.0369999999998</v>
      </c>
      <c r="AX10" s="68">
        <v>-20.6569</v>
      </c>
      <c r="AY10" s="66">
        <v>-1917.1279999999999</v>
      </c>
      <c r="AZ10" s="69">
        <v>-3043.5010000000002</v>
      </c>
      <c r="BA10" s="68">
        <v>-55.625100000000003</v>
      </c>
      <c r="BB10" s="66">
        <v>-1052.5519999999999</v>
      </c>
      <c r="BC10" s="69">
        <v>-3997.98</v>
      </c>
      <c r="BD10" s="68">
        <v>-103.5279</v>
      </c>
      <c r="BE10" s="66">
        <v>0</v>
      </c>
      <c r="BF10" s="69">
        <v>-4900.6099999999997</v>
      </c>
      <c r="BG10" s="68">
        <v>-55.625100000000003</v>
      </c>
      <c r="BH10" s="66">
        <v>1052.5522000000001</v>
      </c>
      <c r="BI10" s="69">
        <v>-3997.98</v>
      </c>
      <c r="BJ10" s="68">
        <v>-20.6569</v>
      </c>
      <c r="BK10" s="66">
        <v>1917.1276</v>
      </c>
      <c r="BL10" s="69">
        <v>-3043.5010000000002</v>
      </c>
      <c r="BM10" s="68">
        <v>-11.5466</v>
      </c>
      <c r="BN10" s="66">
        <v>2443.0371</v>
      </c>
      <c r="BO10" s="69">
        <v>-2443.0369999999998</v>
      </c>
      <c r="BP10" s="68">
        <v>-20.6569</v>
      </c>
      <c r="BQ10" s="66">
        <v>3043.5007999999998</v>
      </c>
      <c r="BR10" s="69">
        <v>-1917.1279999999999</v>
      </c>
      <c r="BS10" s="68">
        <v>-55.625100000000003</v>
      </c>
      <c r="BT10" s="66">
        <v>3997.9796999999999</v>
      </c>
      <c r="BU10" s="69">
        <v>-1052.5519999999999</v>
      </c>
    </row>
    <row r="11" spans="1:73" x14ac:dyDescent="0.2">
      <c r="A11" s="56">
        <v>9</v>
      </c>
      <c r="B11" s="68">
        <v>-32.073999999999998</v>
      </c>
      <c r="C11" s="66">
        <v>3922.8238000000001</v>
      </c>
      <c r="D11" s="69">
        <v>0</v>
      </c>
      <c r="E11" s="68">
        <v>30.1174</v>
      </c>
      <c r="F11" s="66">
        <v>2493.9629</v>
      </c>
      <c r="G11" s="69">
        <v>1003.432</v>
      </c>
      <c r="H11" s="68">
        <v>58.177599999999998</v>
      </c>
      <c r="I11" s="66">
        <v>1765.1021000000001</v>
      </c>
      <c r="J11" s="69">
        <v>1365.0206000000001</v>
      </c>
      <c r="K11" s="68">
        <v>66.561499999999995</v>
      </c>
      <c r="L11" s="66">
        <v>1486.9296999999999</v>
      </c>
      <c r="M11" s="69">
        <v>1486.9296999999999</v>
      </c>
      <c r="N11" s="68">
        <v>58.177599999999998</v>
      </c>
      <c r="O11" s="66">
        <v>1365.0206000000001</v>
      </c>
      <c r="P11" s="69">
        <v>1765.1021000000001</v>
      </c>
      <c r="Q11" s="68">
        <v>30.1174</v>
      </c>
      <c r="R11" s="66">
        <v>1003.432</v>
      </c>
      <c r="S11" s="69">
        <v>2493.9629</v>
      </c>
      <c r="T11" s="68">
        <v>-32.073999999999998</v>
      </c>
      <c r="U11" s="66">
        <v>0</v>
      </c>
      <c r="V11" s="69">
        <v>3922.8238000000001</v>
      </c>
      <c r="W11" s="68">
        <v>30.1174</v>
      </c>
      <c r="X11" s="66">
        <v>-1003.432</v>
      </c>
      <c r="Y11" s="69">
        <v>2493.9629</v>
      </c>
      <c r="Z11" s="68">
        <v>58.177599999999998</v>
      </c>
      <c r="AA11" s="66">
        <v>-1365.021</v>
      </c>
      <c r="AB11" s="69">
        <v>1765.1021000000001</v>
      </c>
      <c r="AC11" s="68">
        <v>66.561499999999995</v>
      </c>
      <c r="AD11" s="66">
        <v>-1486.93</v>
      </c>
      <c r="AE11" s="69">
        <v>1486.9296999999999</v>
      </c>
      <c r="AF11" s="68">
        <v>58.177599999999998</v>
      </c>
      <c r="AG11" s="66">
        <v>-1765.1020000000001</v>
      </c>
      <c r="AH11" s="69">
        <v>1365.0206000000001</v>
      </c>
      <c r="AI11" s="68">
        <v>30.1174</v>
      </c>
      <c r="AJ11" s="66">
        <v>-2493.9630000000002</v>
      </c>
      <c r="AK11" s="69">
        <v>1003.432</v>
      </c>
      <c r="AL11" s="68">
        <v>-32.073999999999998</v>
      </c>
      <c r="AM11" s="66">
        <v>-3922.82</v>
      </c>
      <c r="AN11" s="69">
        <v>0</v>
      </c>
      <c r="AO11" s="68">
        <v>30.1174</v>
      </c>
      <c r="AP11" s="66">
        <v>-2493.9630000000002</v>
      </c>
      <c r="AQ11" s="69">
        <v>-1003.432</v>
      </c>
      <c r="AR11" s="68">
        <v>58.177599999999998</v>
      </c>
      <c r="AS11" s="66">
        <v>-1765.1020000000001</v>
      </c>
      <c r="AT11" s="69">
        <v>-1365.021</v>
      </c>
      <c r="AU11" s="68">
        <v>66.561499999999995</v>
      </c>
      <c r="AV11" s="66">
        <v>-1486.93</v>
      </c>
      <c r="AW11" s="69">
        <v>-1486.93</v>
      </c>
      <c r="AX11" s="68">
        <v>58.177599999999998</v>
      </c>
      <c r="AY11" s="66">
        <v>-1365.021</v>
      </c>
      <c r="AZ11" s="69">
        <v>-1765.1020000000001</v>
      </c>
      <c r="BA11" s="68">
        <v>30.1174</v>
      </c>
      <c r="BB11" s="66">
        <v>-1003.432</v>
      </c>
      <c r="BC11" s="69">
        <v>-2493.9630000000002</v>
      </c>
      <c r="BD11" s="68">
        <v>-32.073999999999998</v>
      </c>
      <c r="BE11" s="66">
        <v>0</v>
      </c>
      <c r="BF11" s="69">
        <v>-3922.82</v>
      </c>
      <c r="BG11" s="68">
        <v>30.1174</v>
      </c>
      <c r="BH11" s="66">
        <v>1003.432</v>
      </c>
      <c r="BI11" s="69">
        <v>-2493.9630000000002</v>
      </c>
      <c r="BJ11" s="68">
        <v>58.177599999999998</v>
      </c>
      <c r="BK11" s="66">
        <v>1365.0206000000001</v>
      </c>
      <c r="BL11" s="69">
        <v>-1765.1020000000001</v>
      </c>
      <c r="BM11" s="68">
        <v>66.561499999999995</v>
      </c>
      <c r="BN11" s="66">
        <v>1486.9296999999999</v>
      </c>
      <c r="BO11" s="69">
        <v>-1486.93</v>
      </c>
      <c r="BP11" s="68">
        <v>58.177599999999998</v>
      </c>
      <c r="BQ11" s="66">
        <v>1765.1021000000001</v>
      </c>
      <c r="BR11" s="69">
        <v>-1365.021</v>
      </c>
      <c r="BS11" s="68">
        <v>30.1174</v>
      </c>
      <c r="BT11" s="66">
        <v>2493.9629</v>
      </c>
      <c r="BU11" s="69">
        <v>-1003.432</v>
      </c>
    </row>
    <row r="12" spans="1:73" x14ac:dyDescent="0.2">
      <c r="A12" s="56">
        <v>10</v>
      </c>
      <c r="B12" s="68">
        <v>41.6096</v>
      </c>
      <c r="C12" s="66">
        <v>2378.9088999999999</v>
      </c>
      <c r="D12" s="69">
        <v>0</v>
      </c>
      <c r="E12" s="68">
        <v>110.7813</v>
      </c>
      <c r="F12" s="66">
        <v>747.23530000000005</v>
      </c>
      <c r="G12" s="69">
        <v>595.9701</v>
      </c>
      <c r="H12" s="68">
        <v>119.5659</v>
      </c>
      <c r="I12" s="66">
        <v>535.11289999999997</v>
      </c>
      <c r="J12" s="69">
        <v>518.0598</v>
      </c>
      <c r="K12" s="68">
        <v>120.19710000000001</v>
      </c>
      <c r="L12" s="66">
        <v>513.63379999999995</v>
      </c>
      <c r="M12" s="69">
        <v>513.63379999999995</v>
      </c>
      <c r="N12" s="68">
        <v>119.5659</v>
      </c>
      <c r="O12" s="66">
        <v>518.0598</v>
      </c>
      <c r="P12" s="69">
        <v>535.11289999999997</v>
      </c>
      <c r="Q12" s="68">
        <v>110.7813</v>
      </c>
      <c r="R12" s="66">
        <v>595.9701</v>
      </c>
      <c r="S12" s="69">
        <v>747.23530000000005</v>
      </c>
      <c r="T12" s="68">
        <v>41.6096</v>
      </c>
      <c r="U12" s="66">
        <v>0</v>
      </c>
      <c r="V12" s="69">
        <v>2378.9088999999999</v>
      </c>
      <c r="W12" s="68">
        <v>110.7813</v>
      </c>
      <c r="X12" s="66">
        <v>-595.9701</v>
      </c>
      <c r="Y12" s="69">
        <v>747.23530000000005</v>
      </c>
      <c r="Z12" s="68">
        <v>119.5659</v>
      </c>
      <c r="AA12" s="66">
        <v>-518.0598</v>
      </c>
      <c r="AB12" s="69">
        <v>535.11289999999997</v>
      </c>
      <c r="AC12" s="68">
        <v>120.19710000000001</v>
      </c>
      <c r="AD12" s="66">
        <v>-513.63379999999995</v>
      </c>
      <c r="AE12" s="69">
        <v>513.63379999999995</v>
      </c>
      <c r="AF12" s="68">
        <v>119.5659</v>
      </c>
      <c r="AG12" s="66">
        <v>-535.11289999999997</v>
      </c>
      <c r="AH12" s="69">
        <v>518.0598</v>
      </c>
      <c r="AI12" s="68">
        <v>110.7813</v>
      </c>
      <c r="AJ12" s="66">
        <v>-747.23530000000005</v>
      </c>
      <c r="AK12" s="69">
        <v>595.9701</v>
      </c>
      <c r="AL12" s="68">
        <v>41.6096</v>
      </c>
      <c r="AM12" s="66">
        <v>-2378.9090000000001</v>
      </c>
      <c r="AN12" s="69">
        <v>0</v>
      </c>
      <c r="AO12" s="68">
        <v>110.7813</v>
      </c>
      <c r="AP12" s="66">
        <v>-747.23530000000005</v>
      </c>
      <c r="AQ12" s="69">
        <v>-595.9701</v>
      </c>
      <c r="AR12" s="68">
        <v>119.5659</v>
      </c>
      <c r="AS12" s="66">
        <v>-535.11289999999997</v>
      </c>
      <c r="AT12" s="69">
        <v>-518.0598</v>
      </c>
      <c r="AU12" s="68">
        <v>120.19710000000001</v>
      </c>
      <c r="AV12" s="66">
        <v>-513.63379999999995</v>
      </c>
      <c r="AW12" s="69">
        <v>-513.63379999999995</v>
      </c>
      <c r="AX12" s="68">
        <v>119.5659</v>
      </c>
      <c r="AY12" s="66">
        <v>-518.0598</v>
      </c>
      <c r="AZ12" s="69">
        <v>-535.11289999999997</v>
      </c>
      <c r="BA12" s="68">
        <v>110.7813</v>
      </c>
      <c r="BB12" s="66">
        <v>-595.9701</v>
      </c>
      <c r="BC12" s="69">
        <v>-747.23530000000005</v>
      </c>
      <c r="BD12" s="68">
        <v>41.6096</v>
      </c>
      <c r="BE12" s="66">
        <v>0</v>
      </c>
      <c r="BF12" s="69">
        <v>-2378.9090000000001</v>
      </c>
      <c r="BG12" s="68">
        <v>110.7813</v>
      </c>
      <c r="BH12" s="66">
        <v>595.9701</v>
      </c>
      <c r="BI12" s="69">
        <v>-747.23530000000005</v>
      </c>
      <c r="BJ12" s="68">
        <v>119.5659</v>
      </c>
      <c r="BK12" s="66">
        <v>518.0598</v>
      </c>
      <c r="BL12" s="69">
        <v>-535.11289999999997</v>
      </c>
      <c r="BM12" s="68">
        <v>120.19710000000001</v>
      </c>
      <c r="BN12" s="66">
        <v>513.63379999999995</v>
      </c>
      <c r="BO12" s="69">
        <v>-513.63379999999995</v>
      </c>
      <c r="BP12" s="68">
        <v>119.5659</v>
      </c>
      <c r="BQ12" s="66">
        <v>535.11289999999997</v>
      </c>
      <c r="BR12" s="69">
        <v>-518.0598</v>
      </c>
      <c r="BS12" s="68">
        <v>110.7813</v>
      </c>
      <c r="BT12" s="66">
        <v>747.23530000000005</v>
      </c>
      <c r="BU12" s="69">
        <v>-595.9701</v>
      </c>
    </row>
    <row r="13" spans="1:73" x14ac:dyDescent="0.2">
      <c r="A13" s="57">
        <v>11</v>
      </c>
      <c r="B13" s="70">
        <v>142.43039999999999</v>
      </c>
      <c r="C13" s="71">
        <v>0</v>
      </c>
      <c r="D13" s="72">
        <v>0</v>
      </c>
      <c r="E13" s="70">
        <v>142.43039999999999</v>
      </c>
      <c r="F13" s="71">
        <v>0</v>
      </c>
      <c r="G13" s="72">
        <v>0</v>
      </c>
      <c r="H13" s="70">
        <v>142.43039999999999</v>
      </c>
      <c r="I13" s="71">
        <v>0</v>
      </c>
      <c r="J13" s="72">
        <v>0</v>
      </c>
      <c r="K13" s="70">
        <v>142.43039999999999</v>
      </c>
      <c r="L13" s="71">
        <v>0</v>
      </c>
      <c r="M13" s="72">
        <v>0</v>
      </c>
      <c r="N13" s="70">
        <v>142.43039999999999</v>
      </c>
      <c r="O13" s="71">
        <v>0</v>
      </c>
      <c r="P13" s="72">
        <v>0</v>
      </c>
      <c r="Q13" s="70">
        <v>142.43039999999999</v>
      </c>
      <c r="R13" s="71">
        <v>0</v>
      </c>
      <c r="S13" s="72">
        <v>0</v>
      </c>
      <c r="T13" s="70">
        <v>142.43039999999999</v>
      </c>
      <c r="U13" s="71">
        <v>0</v>
      </c>
      <c r="V13" s="72">
        <v>0</v>
      </c>
      <c r="W13" s="70">
        <v>142.43039999999999</v>
      </c>
      <c r="X13" s="71">
        <v>0</v>
      </c>
      <c r="Y13" s="72">
        <v>0</v>
      </c>
      <c r="Z13" s="70">
        <v>142.43039999999999</v>
      </c>
      <c r="AA13" s="71">
        <v>0</v>
      </c>
      <c r="AB13" s="72">
        <v>0</v>
      </c>
      <c r="AC13" s="70">
        <v>142.43039999999999</v>
      </c>
      <c r="AD13" s="71">
        <v>0</v>
      </c>
      <c r="AE13" s="72">
        <v>0</v>
      </c>
      <c r="AF13" s="70">
        <v>142.43039999999999</v>
      </c>
      <c r="AG13" s="71">
        <v>0</v>
      </c>
      <c r="AH13" s="72">
        <v>0</v>
      </c>
      <c r="AI13" s="70">
        <v>142.43039999999999</v>
      </c>
      <c r="AJ13" s="71">
        <v>0</v>
      </c>
      <c r="AK13" s="72">
        <v>0</v>
      </c>
      <c r="AL13" s="70">
        <v>142.43039999999999</v>
      </c>
      <c r="AM13" s="71">
        <v>0</v>
      </c>
      <c r="AN13" s="72">
        <v>0</v>
      </c>
      <c r="AO13" s="70">
        <v>142.43039999999999</v>
      </c>
      <c r="AP13" s="71">
        <v>0</v>
      </c>
      <c r="AQ13" s="72">
        <v>0</v>
      </c>
      <c r="AR13" s="70">
        <v>142.43039999999999</v>
      </c>
      <c r="AS13" s="71">
        <v>0</v>
      </c>
      <c r="AT13" s="72">
        <v>0</v>
      </c>
      <c r="AU13" s="70">
        <v>142.43039999999999</v>
      </c>
      <c r="AV13" s="71">
        <v>0</v>
      </c>
      <c r="AW13" s="72">
        <v>0</v>
      </c>
      <c r="AX13" s="70">
        <v>142.43039999999999</v>
      </c>
      <c r="AY13" s="71">
        <v>0</v>
      </c>
      <c r="AZ13" s="72">
        <v>0</v>
      </c>
      <c r="BA13" s="70">
        <v>142.43039999999999</v>
      </c>
      <c r="BB13" s="71">
        <v>0</v>
      </c>
      <c r="BC13" s="72">
        <v>0</v>
      </c>
      <c r="BD13" s="70">
        <v>142.43039999999999</v>
      </c>
      <c r="BE13" s="71">
        <v>0</v>
      </c>
      <c r="BF13" s="72">
        <v>0</v>
      </c>
      <c r="BG13" s="70">
        <v>142.43039999999999</v>
      </c>
      <c r="BH13" s="71">
        <v>0</v>
      </c>
      <c r="BI13" s="72">
        <v>0</v>
      </c>
      <c r="BJ13" s="70">
        <v>142.43039999999999</v>
      </c>
      <c r="BK13" s="71">
        <v>0</v>
      </c>
      <c r="BL13" s="72">
        <v>0</v>
      </c>
      <c r="BM13" s="70">
        <v>142.43039999999999</v>
      </c>
      <c r="BN13" s="71">
        <v>0</v>
      </c>
      <c r="BO13" s="72">
        <v>0</v>
      </c>
      <c r="BP13" s="70">
        <v>142.43039999999999</v>
      </c>
      <c r="BQ13" s="71">
        <v>0</v>
      </c>
      <c r="BR13" s="72">
        <v>0</v>
      </c>
      <c r="BS13" s="70">
        <v>142.43039999999999</v>
      </c>
      <c r="BT13" s="71">
        <v>0</v>
      </c>
      <c r="BU13" s="7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SecGral</vt:lpstr>
      <vt:lpstr>SecRecN</vt:lpstr>
      <vt:lpstr>SecRecS</vt:lpstr>
      <vt:lpstr>SecT1</vt:lpstr>
      <vt:lpstr>SecT2</vt:lpstr>
      <vt:lpstr>SecT3</vt:lpstr>
      <vt:lpstr>SecL1</vt:lpstr>
      <vt:lpstr>SecL2</vt:lpstr>
      <vt:lpstr>ComparacionSAP200</vt:lpstr>
      <vt:lpstr>DiagramSAP2000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Gonzalo Barañado Quiñones</dc:creator>
  <cp:lastModifiedBy>sdc</cp:lastModifiedBy>
  <cp:lastPrinted>2021-12-24T07:40:42Z</cp:lastPrinted>
  <dcterms:created xsi:type="dcterms:W3CDTF">2021-12-21T18:44:29Z</dcterms:created>
  <dcterms:modified xsi:type="dcterms:W3CDTF">2023-05-08T18:40:27Z</dcterms:modified>
</cp:coreProperties>
</file>